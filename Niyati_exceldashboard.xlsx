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IYATI PATEL\Downloads\"/>
    </mc:Choice>
  </mc:AlternateContent>
  <xr:revisionPtr revIDLastSave="0" documentId="13_ncr:1_{E3D45E04-F1CB-4C3E-A03C-8DD7831DA546}" xr6:coauthVersionLast="47" xr6:coauthVersionMax="47" xr10:uidLastSave="{00000000-0000-0000-0000-000000000000}"/>
  <bookViews>
    <workbookView xWindow="-108" yWindow="-108" windowWidth="23256" windowHeight="12456" activeTab="3" xr2:uid="{494063F6-2383-4F83-9038-AC22E0842623}"/>
  </bookViews>
  <sheets>
    <sheet name="project data" sheetId="1" r:id="rId1"/>
    <sheet name="Pivot tables" sheetId="3" r:id="rId2"/>
    <sheet name="Charts" sheetId="4" r:id="rId3"/>
    <sheet name="Dashboard" sheetId="5" r:id="rId4"/>
  </sheets>
  <externalReferences>
    <externalReference r:id="rId5"/>
  </externalReferences>
  <definedNames>
    <definedName name="Slicer_Column7">#N/A</definedName>
    <definedName name="Slicer_Project_Management_Data">#N/A</definedName>
  </definedNames>
  <calcPr calcId="191029"/>
  <pivotCaches>
    <pivotCache cacheId="3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E4" i="5"/>
  <c r="C4" i="5"/>
  <c r="A4" i="5"/>
  <c r="H32" i="1"/>
  <c r="H33" i="1"/>
  <c r="H34" i="1"/>
  <c r="H35" i="1"/>
  <c r="H36" i="1"/>
  <c r="H37" i="1"/>
  <c r="H38" i="1"/>
  <c r="H39" i="1"/>
  <c r="H40" i="1"/>
  <c r="H41" i="1"/>
  <c r="H42" i="1"/>
  <c r="H43" i="1"/>
  <c r="H44" i="1"/>
  <c r="H45" i="1"/>
  <c r="H46" i="1"/>
  <c r="H47" i="1"/>
  <c r="H48" i="1"/>
  <c r="H49" i="1"/>
  <c r="H5" i="1"/>
  <c r="H6" i="1"/>
  <c r="H7" i="1"/>
  <c r="H8" i="1"/>
  <c r="H9" i="1"/>
  <c r="H10" i="1"/>
  <c r="H11" i="1"/>
  <c r="H12" i="1"/>
  <c r="H13" i="1"/>
  <c r="H14" i="1"/>
  <c r="H15" i="1"/>
  <c r="H16" i="1"/>
  <c r="H17" i="1"/>
  <c r="H18" i="1"/>
  <c r="H19" i="1"/>
  <c r="H20" i="1"/>
  <c r="H21" i="1"/>
  <c r="H22" i="1"/>
  <c r="H23" i="1"/>
  <c r="H24" i="1"/>
  <c r="H25" i="1"/>
  <c r="H26" i="1"/>
  <c r="H27" i="1"/>
  <c r="H28" i="1"/>
  <c r="H29" i="1"/>
  <c r="H30" i="1"/>
  <c r="H31" i="1"/>
  <c r="H4" i="1"/>
</calcChain>
</file>

<file path=xl/sharedStrings.xml><?xml version="1.0" encoding="utf-8"?>
<sst xmlns="http://schemas.openxmlformats.org/spreadsheetml/2006/main" count="207" uniqueCount="132">
  <si>
    <t>Project Management Data</t>
  </si>
  <si>
    <t>Project Name</t>
  </si>
  <si>
    <t>Task Name</t>
  </si>
  <si>
    <t>Assigned to</t>
  </si>
  <si>
    <t>Start Date</t>
  </si>
  <si>
    <t>Days Required</t>
  </si>
  <si>
    <t>End Date</t>
  </si>
  <si>
    <t>Progress</t>
  </si>
  <si>
    <t>Marketing</t>
  </si>
  <si>
    <t>Market Research</t>
  </si>
  <si>
    <t>Alice</t>
  </si>
  <si>
    <t>Content Creation</t>
  </si>
  <si>
    <t>Bob</t>
  </si>
  <si>
    <t>Social Media Planning</t>
  </si>
  <si>
    <t>Charlie</t>
  </si>
  <si>
    <t>Campaign Analysis</t>
  </si>
  <si>
    <t>Daisy</t>
  </si>
  <si>
    <t>Product Dev</t>
  </si>
  <si>
    <t>Prototype Development</t>
  </si>
  <si>
    <t>Ethan</t>
  </si>
  <si>
    <t>Quality Assurance</t>
  </si>
  <si>
    <t>Fiona</t>
  </si>
  <si>
    <t>User Interface Design</t>
  </si>
  <si>
    <t>Gabriel</t>
  </si>
  <si>
    <t>Customer Svc</t>
  </si>
  <si>
    <t>Service Improvement</t>
  </si>
  <si>
    <t>Hannah</t>
  </si>
  <si>
    <t>Ticket Resolution</t>
  </si>
  <si>
    <t>Ian</t>
  </si>
  <si>
    <t>Customer Feedback</t>
  </si>
  <si>
    <t>Julia</t>
  </si>
  <si>
    <t>Financial</t>
  </si>
  <si>
    <t>Budget Analysis</t>
  </si>
  <si>
    <t>Kevin</t>
  </si>
  <si>
    <t>Financial Reporting</t>
  </si>
  <si>
    <t>Mark</t>
  </si>
  <si>
    <t>Investment Planning</t>
  </si>
  <si>
    <t>Research</t>
  </si>
  <si>
    <t>Market Trends Analysis</t>
  </si>
  <si>
    <t>Nathan</t>
  </si>
  <si>
    <t>Data Collection</t>
  </si>
  <si>
    <t>Olivia</t>
  </si>
  <si>
    <t>Research Paper Writing</t>
  </si>
  <si>
    <t>Peter</t>
  </si>
  <si>
    <t>Development</t>
  </si>
  <si>
    <t>Software Development</t>
  </si>
  <si>
    <t>Quinn</t>
  </si>
  <si>
    <t>Feature Enhancement</t>
  </si>
  <si>
    <t>Rachel</t>
  </si>
  <si>
    <t>Code Review</t>
  </si>
  <si>
    <t>Sam</t>
  </si>
  <si>
    <t>Production</t>
  </si>
  <si>
    <t>Manufacturing</t>
  </si>
  <si>
    <t>Tim</t>
  </si>
  <si>
    <t>Quality Control</t>
  </si>
  <si>
    <t>Ursula</t>
  </si>
  <si>
    <t>Packaging Design</t>
  </si>
  <si>
    <t>Victor</t>
  </si>
  <si>
    <t>Sales</t>
  </si>
  <si>
    <t>Lead Generation</t>
  </si>
  <si>
    <t>Wendy</t>
  </si>
  <si>
    <t>Client Meetings</t>
  </si>
  <si>
    <t>Xavier</t>
  </si>
  <si>
    <t>Contract Negotiation</t>
  </si>
  <si>
    <t>Yvette</t>
  </si>
  <si>
    <t>Support</t>
  </si>
  <si>
    <t>Technical Support</t>
  </si>
  <si>
    <t>Zoe</t>
  </si>
  <si>
    <t>Bug Fixes</t>
  </si>
  <si>
    <t>Aaron</t>
  </si>
  <si>
    <t>Software Updates</t>
  </si>
  <si>
    <t>Bella</t>
  </si>
  <si>
    <t>Operations</t>
  </si>
  <si>
    <t>Process Optimization</t>
  </si>
  <si>
    <t>Calvin</t>
  </si>
  <si>
    <t>Inventory Management</t>
  </si>
  <si>
    <t>Diane</t>
  </si>
  <si>
    <t>Facility Maintenance</t>
  </si>
  <si>
    <t>Edward</t>
  </si>
  <si>
    <t>Consulting</t>
  </si>
  <si>
    <t>Strategic Planning</t>
  </si>
  <si>
    <t>Market Expansion</t>
  </si>
  <si>
    <t>Gary</t>
  </si>
  <si>
    <t>Client Advisory</t>
  </si>
  <si>
    <t>Helen</t>
  </si>
  <si>
    <t>Training</t>
  </si>
  <si>
    <t>Employee Training</t>
  </si>
  <si>
    <t>Isaac</t>
  </si>
  <si>
    <t>Certification Programs</t>
  </si>
  <si>
    <t>Jane</t>
  </si>
  <si>
    <t>Skill Development</t>
  </si>
  <si>
    <t>Kyle</t>
  </si>
  <si>
    <t>Events</t>
  </si>
  <si>
    <t>Event Planning</t>
  </si>
  <si>
    <t>Laura</t>
  </si>
  <si>
    <t>Conference Management</t>
  </si>
  <si>
    <t>Mike</t>
  </si>
  <si>
    <t>Sponsorship Coordinatio</t>
  </si>
  <si>
    <t>n Nancy</t>
  </si>
  <si>
    <t>Logistics</t>
  </si>
  <si>
    <t>Supply Chain Management</t>
  </si>
  <si>
    <t>Oscar</t>
  </si>
  <si>
    <t>Transportation Planning</t>
  </si>
  <si>
    <t>Patricia</t>
  </si>
  <si>
    <t>Inventory Optimization</t>
  </si>
  <si>
    <t>Quentin</t>
  </si>
  <si>
    <t>Engineering</t>
  </si>
  <si>
    <t>Product Design</t>
  </si>
  <si>
    <t>System Integration</t>
  </si>
  <si>
    <t>Prototype Testing</t>
  </si>
  <si>
    <t>Tom</t>
  </si>
  <si>
    <t>Column1</t>
  </si>
  <si>
    <t>Column2</t>
  </si>
  <si>
    <t>Column3</t>
  </si>
  <si>
    <t>Column4</t>
  </si>
  <si>
    <t>Column5</t>
  </si>
  <si>
    <t>Column6</t>
  </si>
  <si>
    <t>Column7</t>
  </si>
  <si>
    <t>Task Status</t>
  </si>
  <si>
    <t>(blank)</t>
  </si>
  <si>
    <t>Grand Total</t>
  </si>
  <si>
    <t>in progress</t>
  </si>
  <si>
    <t>completed</t>
  </si>
  <si>
    <t>not started</t>
  </si>
  <si>
    <t>Count of Column6</t>
  </si>
  <si>
    <t>Project name</t>
  </si>
  <si>
    <t>Count of Column1</t>
  </si>
  <si>
    <t>Project Management Dashboard</t>
  </si>
  <si>
    <t>Total Task</t>
  </si>
  <si>
    <t>Completed Task</t>
  </si>
  <si>
    <t>In Progrress</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</si>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</sst>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dd/mm/yyyy;@"/>
  </numFmts>
  <fonts count="11"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3"/>
      <color rgb="FF272760"/>
      <name val="Calibri"/>
      <family val="2"/>
    </font>
    <font>
      <b/>
      <sz val="14"/>
      <color rgb="FF272760"/>
      <name val="Calibri"/>
      <family val="2"/>
    </font>
    <font>
      <sz val="11"/>
      <color theme="1"/>
      <name val="Calibri"/>
      <family val="2"/>
    </font>
    <font>
      <b/>
      <sz val="12"/>
      <color rgb="FFFFFFFF"/>
      <name val="Calibri"/>
      <family val="2"/>
    </font>
    <font>
      <sz val="11"/>
      <color rgb="FF000000"/>
      <name val="Calibri"/>
      <family val="2"/>
    </font>
    <font>
      <sz val="8"/>
      <name val="Aptos Narrow"/>
      <family val="2"/>
      <scheme val="minor"/>
    </font>
    <font>
      <b/>
      <sz val="20"/>
      <color theme="0"/>
      <name val="Aptos Narrow"/>
      <family val="2"/>
      <scheme val="minor"/>
    </font>
  </fonts>
  <fills count="6">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rgb="FF002060"/>
        <bgColor indexed="64"/>
      </patternFill>
    </fill>
    <fill>
      <patternFill patternType="solid">
        <fgColor theme="5" tint="0.79998168889431442"/>
        <bgColor indexed="64"/>
      </patternFill>
    </fill>
  </fills>
  <borders count="4">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65" fontId="0" fillId="0" borderId="0" xfId="0" applyNumberFormat="1"/>
    <xf numFmtId="9" fontId="0" fillId="0" borderId="0" xfId="1" applyFont="1"/>
    <xf numFmtId="0" fontId="7" fillId="3" borderId="2" xfId="0" applyFont="1" applyFill="1" applyBorder="1" applyAlignment="1">
      <alignment horizontal="center"/>
    </xf>
    <xf numFmtId="165" fontId="7" fillId="3" borderId="2" xfId="0" applyNumberFormat="1" applyFont="1" applyFill="1" applyBorder="1" applyAlignment="1">
      <alignment horizontal="center"/>
    </xf>
    <xf numFmtId="9" fontId="7" fillId="3" borderId="2" xfId="1" applyFont="1" applyFill="1" applyBorder="1" applyAlignment="1">
      <alignment horizontal="center"/>
    </xf>
    <xf numFmtId="0" fontId="4" fillId="2" borderId="1" xfId="0" applyFont="1" applyFill="1" applyBorder="1" applyAlignment="1">
      <alignment horizontal="center"/>
    </xf>
    <xf numFmtId="0" fontId="5" fillId="2" borderId="1" xfId="0" applyFont="1" applyFill="1" applyBorder="1" applyAlignment="1">
      <alignment horizontal="center"/>
    </xf>
    <xf numFmtId="165" fontId="5" fillId="2" borderId="1" xfId="0" applyNumberFormat="1" applyFont="1" applyFill="1" applyBorder="1" applyAlignment="1">
      <alignment horizontal="center"/>
    </xf>
    <xf numFmtId="0" fontId="6" fillId="0" borderId="0" xfId="0" applyFont="1" applyAlignment="1">
      <alignment horizontal="center"/>
    </xf>
    <xf numFmtId="165" fontId="6" fillId="0" borderId="0" xfId="0" applyNumberFormat="1" applyFont="1" applyAlignment="1">
      <alignment horizontal="center"/>
    </xf>
    <xf numFmtId="9" fontId="6" fillId="0" borderId="0" xfId="1" applyFont="1" applyAlignment="1">
      <alignment horizontal="center"/>
    </xf>
    <xf numFmtId="0" fontId="8" fillId="0" borderId="2" xfId="0" applyFont="1" applyBorder="1" applyAlignment="1">
      <alignment horizontal="center"/>
    </xf>
    <xf numFmtId="165" fontId="8" fillId="0" borderId="2" xfId="0" applyNumberFormat="1" applyFont="1" applyBorder="1" applyAlignment="1">
      <alignment horizontal="center"/>
    </xf>
    <xf numFmtId="14" fontId="8" fillId="0" borderId="2" xfId="0" applyNumberFormat="1" applyFont="1" applyBorder="1" applyAlignment="1">
      <alignment horizontal="center"/>
    </xf>
    <xf numFmtId="9" fontId="8" fillId="0" borderId="2" xfId="1" applyFont="1" applyBorder="1" applyAlignment="1">
      <alignment horizontal="center"/>
    </xf>
    <xf numFmtId="0" fontId="8" fillId="0" borderId="3" xfId="0" applyFont="1" applyBorder="1" applyAlignment="1">
      <alignment horizontal="center"/>
    </xf>
    <xf numFmtId="165" fontId="8" fillId="0" borderId="3" xfId="0" applyNumberFormat="1" applyFont="1" applyBorder="1" applyAlignment="1">
      <alignment horizontal="center"/>
    </xf>
    <xf numFmtId="14" fontId="8" fillId="0" borderId="3" xfId="0" applyNumberFormat="1" applyFont="1" applyBorder="1" applyAlignment="1">
      <alignment horizontal="center"/>
    </xf>
    <xf numFmtId="9" fontId="8" fillId="0" borderId="3" xfId="1" applyFont="1" applyBorder="1" applyAlignment="1">
      <alignment horizontal="center"/>
    </xf>
    <xf numFmtId="0" fontId="0" fillId="0" borderId="0" xfId="0" applyFont="1" applyAlignment="1">
      <alignment horizontal="center"/>
    </xf>
    <xf numFmtId="0" fontId="2" fillId="4"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9" fontId="5" fillId="2" borderId="1" xfId="0" applyNumberFormat="1" applyFont="1" applyFill="1" applyBorder="1" applyAlignment="1">
      <alignment horizontal="center"/>
    </xf>
    <xf numFmtId="0" fontId="10" fillId="4" borderId="0" xfId="0" applyFont="1" applyFill="1" applyAlignment="1">
      <alignment horizontal="center"/>
    </xf>
    <xf numFmtId="0" fontId="3" fillId="5" borderId="0" xfId="0" applyFont="1" applyFill="1" applyAlignment="1">
      <alignment horizontal="center" vertical="center"/>
    </xf>
  </cellXfs>
  <cellStyles count="2">
    <cellStyle name="Normal" xfId="0" builtinId="0"/>
    <cellStyle name="Percent" xfId="1" builtinId="5"/>
  </cellStyles>
  <dxfs count="12">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numFmt numFmtId="19" formatCode="dd/mm/yyyy"/>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numFmt numFmtId="165" formatCode="[$-14009]dd/mm/yyyy;@"/>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border outline="0">
        <bottom style="medium">
          <color rgb="FF272760"/>
        </bottom>
      </border>
    </dxf>
    <dxf>
      <border outline="0">
        <bottom style="thin">
          <color rgb="FFD9D9D9"/>
        </bottom>
      </border>
    </dxf>
    <dxf>
      <alignment horizontal="center" vertical="bottom" textRotation="0" wrapText="0" indent="0" justifyLastLine="0" shrinkToFit="0" readingOrder="0"/>
    </dxf>
    <dxf>
      <font>
        <b/>
        <i val="0"/>
        <strike val="0"/>
        <condense val="0"/>
        <extend val="0"/>
        <outline val="0"/>
        <shadow val="0"/>
        <u val="none"/>
        <vertAlign val="baseline"/>
        <sz val="14"/>
        <color rgb="FF272760"/>
        <name val="Calibri"/>
        <family val="2"/>
        <scheme val="none"/>
      </font>
      <fill>
        <patternFill patternType="solid">
          <fgColor indexed="64"/>
          <bgColor rgb="FFD9E1F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[Niyati_exceldashboard.xlsx]Pivot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task by project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tables'!$A$4:$A$21</c:f>
              <c:strCache>
                <c:ptCount val="17"/>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Project Name</c:v>
                </c:pt>
                <c:pt idx="12">
                  <c:v>Research</c:v>
                </c:pt>
                <c:pt idx="13">
                  <c:v>Sales</c:v>
                </c:pt>
                <c:pt idx="14">
                  <c:v>Support</c:v>
                </c:pt>
                <c:pt idx="15">
                  <c:v>Training</c:v>
                </c:pt>
                <c:pt idx="16">
                  <c:v>(blank)</c:v>
                </c:pt>
              </c:strCache>
            </c:strRef>
          </c:cat>
          <c:val>
            <c:numRef>
              <c:f>'Pivot tables'!$B$4:$B$21</c:f>
              <c:numCache>
                <c:formatCode>General</c:formatCode>
                <c:ptCount val="17"/>
                <c:pt idx="0">
                  <c:v>3</c:v>
                </c:pt>
                <c:pt idx="1">
                  <c:v>3</c:v>
                </c:pt>
                <c:pt idx="2">
                  <c:v>3</c:v>
                </c:pt>
                <c:pt idx="3">
                  <c:v>3</c:v>
                </c:pt>
                <c:pt idx="4">
                  <c:v>3</c:v>
                </c:pt>
                <c:pt idx="5">
                  <c:v>3</c:v>
                </c:pt>
                <c:pt idx="6">
                  <c:v>3</c:v>
                </c:pt>
                <c:pt idx="7">
                  <c:v>4</c:v>
                </c:pt>
                <c:pt idx="8">
                  <c:v>3</c:v>
                </c:pt>
                <c:pt idx="9">
                  <c:v>3</c:v>
                </c:pt>
                <c:pt idx="10">
                  <c:v>3</c:v>
                </c:pt>
                <c:pt idx="11">
                  <c:v>1</c:v>
                </c:pt>
                <c:pt idx="12">
                  <c:v>3</c:v>
                </c:pt>
                <c:pt idx="13">
                  <c:v>3</c:v>
                </c:pt>
                <c:pt idx="14">
                  <c:v>3</c:v>
                </c:pt>
                <c:pt idx="15">
                  <c:v>3</c:v>
                </c:pt>
              </c:numCache>
            </c:numRef>
          </c:val>
          <c:extLst>
            <c:ext xmlns:c16="http://schemas.microsoft.com/office/drawing/2014/chart" uri="{C3380CC4-5D6E-409C-BE32-E72D297353CC}">
              <c16:uniqueId val="{00000000-9034-4505-AD86-208DB85E963C}"/>
            </c:ext>
          </c:extLst>
        </c:ser>
        <c:dLbls>
          <c:showLegendKey val="0"/>
          <c:showVal val="0"/>
          <c:showCatName val="0"/>
          <c:showSerName val="0"/>
          <c:showPercent val="0"/>
          <c:showBubbleSize val="0"/>
        </c:dLbls>
        <c:gapWidth val="150"/>
        <c:shape val="box"/>
        <c:axId val="1155448064"/>
        <c:axId val="1112471376"/>
        <c:axId val="752090688"/>
      </c:bar3DChart>
      <c:catAx>
        <c:axId val="1155448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71376"/>
        <c:crosses val="autoZero"/>
        <c:auto val="1"/>
        <c:lblAlgn val="ctr"/>
        <c:lblOffset val="100"/>
        <c:noMultiLvlLbl val="0"/>
      </c:catAx>
      <c:valAx>
        <c:axId val="111247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48064"/>
        <c:crosses val="autoZero"/>
        <c:crossBetween val="between"/>
      </c:valAx>
      <c:serAx>
        <c:axId val="7520906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713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[Niyati_exceldashboard.xlsx]Pivot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project progress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tables'!$E$3</c:f>
              <c:strCache>
                <c:ptCount val="1"/>
                <c:pt idx="0">
                  <c:v>Total</c:v>
                </c:pt>
              </c:strCache>
            </c:strRef>
          </c:tx>
          <c:spPr>
            <a:solidFill>
              <a:schemeClr val="accent1"/>
            </a:solidFill>
            <a:ln>
              <a:noFill/>
            </a:ln>
            <a:effectLst/>
            <a:sp3d/>
          </c:spPr>
          <c:invertIfNegative val="0"/>
          <c:cat>
            <c:strRef>
              <c:f>'Pivot tables'!$D$4:$D$9</c:f>
              <c:strCache>
                <c:ptCount val="5"/>
                <c:pt idx="0">
                  <c:v>completed</c:v>
                </c:pt>
                <c:pt idx="1">
                  <c:v>in progress</c:v>
                </c:pt>
                <c:pt idx="2">
                  <c:v>not started</c:v>
                </c:pt>
                <c:pt idx="3">
                  <c:v>Task Status</c:v>
                </c:pt>
                <c:pt idx="4">
                  <c:v>(blank)</c:v>
                </c:pt>
              </c:strCache>
            </c:strRef>
          </c:cat>
          <c:val>
            <c:numRef>
              <c:f>'Pivot tables'!$E$4:$E$9</c:f>
              <c:numCache>
                <c:formatCode>General</c:formatCode>
                <c:ptCount val="5"/>
                <c:pt idx="0">
                  <c:v>9</c:v>
                </c:pt>
                <c:pt idx="1">
                  <c:v>15</c:v>
                </c:pt>
                <c:pt idx="2">
                  <c:v>22</c:v>
                </c:pt>
                <c:pt idx="3">
                  <c:v>1</c:v>
                </c:pt>
              </c:numCache>
            </c:numRef>
          </c:val>
          <c:extLst>
            <c:ext xmlns:c16="http://schemas.microsoft.com/office/drawing/2014/chart" uri="{C3380CC4-5D6E-409C-BE32-E72D297353CC}">
              <c16:uniqueId val="{00000000-7113-4A1D-8217-C986ADEA0EF1}"/>
            </c:ext>
          </c:extLst>
        </c:ser>
        <c:dLbls>
          <c:showLegendKey val="0"/>
          <c:showVal val="0"/>
          <c:showCatName val="0"/>
          <c:showSerName val="0"/>
          <c:showPercent val="0"/>
          <c:showBubbleSize val="0"/>
        </c:dLbls>
        <c:gapWidth val="150"/>
        <c:shape val="box"/>
        <c:axId val="1155455488"/>
        <c:axId val="1112453616"/>
        <c:axId val="0"/>
      </c:bar3DChart>
      <c:catAx>
        <c:axId val="115545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53616"/>
        <c:crosses val="autoZero"/>
        <c:auto val="1"/>
        <c:lblAlgn val="ctr"/>
        <c:lblOffset val="100"/>
        <c:noMultiLvlLbl val="0"/>
      </c:catAx>
      <c:valAx>
        <c:axId val="11124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[Niyati_exceldashboard.xlsx]Pivot tables!PivotTable9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a:t>
            </a:r>
            <a:r>
              <a:rPr lang="en-US" baseline="0"/>
              <a:t> compilation status</a:t>
            </a:r>
            <a:endParaRPr lang="en-US"/>
          </a:p>
        </c:rich>
      </c:tx>
      <c:layout>
        <c:manualLayout>
          <c:xMode val="edge"/>
          <c:yMode val="edge"/>
          <c:x val="0.3155485564304462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doughnut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53-4B67-96C1-685AADB850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53-4B67-96C1-685AADB850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53-4B67-96C1-685AADB850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53-4B67-96C1-685AADB850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53-4B67-96C1-685AADB850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53-4B67-96C1-685AADB850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53-4B67-96C1-685AADB850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453-4B67-96C1-685AADB850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453-4B67-96C1-685AADB850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453-4B67-96C1-685AADB8507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453-4B67-96C1-685AADB8507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453-4B67-96C1-685AADB8507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453-4B67-96C1-685AADB8507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453-4B67-96C1-685AADB8507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453-4B67-96C1-685AADB8507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453-4B67-96C1-685AADB8507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453-4B67-96C1-685AADB85073}"/>
              </c:ext>
            </c:extLst>
          </c:dPt>
          <c:cat>
            <c:strRef>
              <c:f>'Pivot tables'!$G$4:$G$21</c:f>
              <c:strCache>
                <c:ptCount val="17"/>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Project Name</c:v>
                </c:pt>
                <c:pt idx="12">
                  <c:v>Research</c:v>
                </c:pt>
                <c:pt idx="13">
                  <c:v>Sales</c:v>
                </c:pt>
                <c:pt idx="14">
                  <c:v>Support</c:v>
                </c:pt>
                <c:pt idx="15">
                  <c:v>Training</c:v>
                </c:pt>
                <c:pt idx="16">
                  <c:v>(blank)</c:v>
                </c:pt>
              </c:strCache>
            </c:strRef>
          </c:cat>
          <c:val>
            <c:numRef>
              <c:f>'Pivot tables'!$H$4:$H$21</c:f>
              <c:numCache>
                <c:formatCode>General</c:formatCode>
                <c:ptCount val="17"/>
                <c:pt idx="0">
                  <c:v>3</c:v>
                </c:pt>
                <c:pt idx="1">
                  <c:v>3</c:v>
                </c:pt>
                <c:pt idx="2">
                  <c:v>3</c:v>
                </c:pt>
                <c:pt idx="3">
                  <c:v>3</c:v>
                </c:pt>
                <c:pt idx="4">
                  <c:v>3</c:v>
                </c:pt>
                <c:pt idx="5">
                  <c:v>3</c:v>
                </c:pt>
                <c:pt idx="6">
                  <c:v>3</c:v>
                </c:pt>
                <c:pt idx="7">
                  <c:v>4</c:v>
                </c:pt>
                <c:pt idx="8">
                  <c:v>3</c:v>
                </c:pt>
                <c:pt idx="9">
                  <c:v>3</c:v>
                </c:pt>
                <c:pt idx="10">
                  <c:v>3</c:v>
                </c:pt>
                <c:pt idx="11">
                  <c:v>1</c:v>
                </c:pt>
                <c:pt idx="12">
                  <c:v>3</c:v>
                </c:pt>
                <c:pt idx="13">
                  <c:v>3</c:v>
                </c:pt>
                <c:pt idx="14">
                  <c:v>3</c:v>
                </c:pt>
                <c:pt idx="15">
                  <c:v>3</c:v>
                </c:pt>
              </c:numCache>
            </c:numRef>
          </c:val>
          <c:extLst>
            <c:ext xmlns:c16="http://schemas.microsoft.com/office/drawing/2014/chart" uri="{C3380CC4-5D6E-409C-BE32-E72D297353CC}">
              <c16:uniqueId val="{00000022-1453-4B67-96C1-685AADB850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[Niyati_exceldashboard.xlsx]Pivot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task by project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tables'!$A$4:$A$21</c:f>
              <c:strCache>
                <c:ptCount val="17"/>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Project Name</c:v>
                </c:pt>
                <c:pt idx="12">
                  <c:v>Research</c:v>
                </c:pt>
                <c:pt idx="13">
                  <c:v>Sales</c:v>
                </c:pt>
                <c:pt idx="14">
                  <c:v>Support</c:v>
                </c:pt>
                <c:pt idx="15">
                  <c:v>Training</c:v>
                </c:pt>
                <c:pt idx="16">
                  <c:v>(blank)</c:v>
                </c:pt>
              </c:strCache>
            </c:strRef>
          </c:cat>
          <c:val>
            <c:numRef>
              <c:f>'Pivot tables'!$B$4:$B$21</c:f>
              <c:numCache>
                <c:formatCode>General</c:formatCode>
                <c:ptCount val="17"/>
                <c:pt idx="0">
                  <c:v>3</c:v>
                </c:pt>
                <c:pt idx="1">
                  <c:v>3</c:v>
                </c:pt>
                <c:pt idx="2">
                  <c:v>3</c:v>
                </c:pt>
                <c:pt idx="3">
                  <c:v>3</c:v>
                </c:pt>
                <c:pt idx="4">
                  <c:v>3</c:v>
                </c:pt>
                <c:pt idx="5">
                  <c:v>3</c:v>
                </c:pt>
                <c:pt idx="6">
                  <c:v>3</c:v>
                </c:pt>
                <c:pt idx="7">
                  <c:v>4</c:v>
                </c:pt>
                <c:pt idx="8">
                  <c:v>3</c:v>
                </c:pt>
                <c:pt idx="9">
                  <c:v>3</c:v>
                </c:pt>
                <c:pt idx="10">
                  <c:v>3</c:v>
                </c:pt>
                <c:pt idx="11">
                  <c:v>1</c:v>
                </c:pt>
                <c:pt idx="12">
                  <c:v>3</c:v>
                </c:pt>
                <c:pt idx="13">
                  <c:v>3</c:v>
                </c:pt>
                <c:pt idx="14">
                  <c:v>3</c:v>
                </c:pt>
                <c:pt idx="15">
                  <c:v>3</c:v>
                </c:pt>
              </c:numCache>
            </c:numRef>
          </c:val>
          <c:extLst>
            <c:ext xmlns:c16="http://schemas.microsoft.com/office/drawing/2014/chart" uri="{C3380CC4-5D6E-409C-BE32-E72D297353CC}">
              <c16:uniqueId val="{00000000-9B2E-4C91-AF6B-EDCC9BBF6BC7}"/>
            </c:ext>
          </c:extLst>
        </c:ser>
        <c:dLbls>
          <c:showLegendKey val="0"/>
          <c:showVal val="0"/>
          <c:showCatName val="0"/>
          <c:showSerName val="0"/>
          <c:showPercent val="0"/>
          <c:showBubbleSize val="0"/>
        </c:dLbls>
        <c:gapWidth val="150"/>
        <c:shape val="box"/>
        <c:axId val="1155448064"/>
        <c:axId val="1112471376"/>
        <c:axId val="752090688"/>
      </c:bar3DChart>
      <c:catAx>
        <c:axId val="1155448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71376"/>
        <c:crosses val="autoZero"/>
        <c:auto val="1"/>
        <c:lblAlgn val="ctr"/>
        <c:lblOffset val="100"/>
        <c:noMultiLvlLbl val="0"/>
      </c:catAx>
      <c:valAx>
        <c:axId val="111247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48064"/>
        <c:crosses val="autoZero"/>
        <c:crossBetween val="between"/>
      </c:valAx>
      <c:serAx>
        <c:axId val="7520906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713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[Niyati_exceldashboard.xlsx]Pivot 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project progress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tables'!$E$3</c:f>
              <c:strCache>
                <c:ptCount val="1"/>
                <c:pt idx="0">
                  <c:v>Total</c:v>
                </c:pt>
              </c:strCache>
            </c:strRef>
          </c:tx>
          <c:spPr>
            <a:solidFill>
              <a:schemeClr val="accent1"/>
            </a:solidFill>
            <a:ln>
              <a:noFill/>
            </a:ln>
            <a:effectLst/>
            <a:sp3d/>
          </c:spPr>
          <c:invertIfNegative val="0"/>
          <c:cat>
            <c:strRef>
              <c:f>'Pivot tables'!$D$4:$D$9</c:f>
              <c:strCache>
                <c:ptCount val="5"/>
                <c:pt idx="0">
                  <c:v>completed</c:v>
                </c:pt>
                <c:pt idx="1">
                  <c:v>in progress</c:v>
                </c:pt>
                <c:pt idx="2">
                  <c:v>not started</c:v>
                </c:pt>
                <c:pt idx="3">
                  <c:v>Task Status</c:v>
                </c:pt>
                <c:pt idx="4">
                  <c:v>(blank)</c:v>
                </c:pt>
              </c:strCache>
            </c:strRef>
          </c:cat>
          <c:val>
            <c:numRef>
              <c:f>'Pivot tables'!$E$4:$E$9</c:f>
              <c:numCache>
                <c:formatCode>General</c:formatCode>
                <c:ptCount val="5"/>
                <c:pt idx="0">
                  <c:v>9</c:v>
                </c:pt>
                <c:pt idx="1">
                  <c:v>15</c:v>
                </c:pt>
                <c:pt idx="2">
                  <c:v>22</c:v>
                </c:pt>
                <c:pt idx="3">
                  <c:v>1</c:v>
                </c:pt>
              </c:numCache>
            </c:numRef>
          </c:val>
          <c:extLst>
            <c:ext xmlns:c16="http://schemas.microsoft.com/office/drawing/2014/chart" uri="{C3380CC4-5D6E-409C-BE32-E72D297353CC}">
              <c16:uniqueId val="{00000000-D58E-45D0-AAE4-951429188881}"/>
            </c:ext>
          </c:extLst>
        </c:ser>
        <c:dLbls>
          <c:showLegendKey val="0"/>
          <c:showVal val="0"/>
          <c:showCatName val="0"/>
          <c:showSerName val="0"/>
          <c:showPercent val="0"/>
          <c:showBubbleSize val="0"/>
        </c:dLbls>
        <c:gapWidth val="150"/>
        <c:shape val="box"/>
        <c:axId val="1155455488"/>
        <c:axId val="1112453616"/>
        <c:axId val="0"/>
      </c:bar3DChart>
      <c:catAx>
        <c:axId val="115545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53616"/>
        <c:crosses val="autoZero"/>
        <c:auto val="1"/>
        <c:lblAlgn val="ctr"/>
        <c:lblOffset val="100"/>
        <c:noMultiLvlLbl val="0"/>
      </c:catAx>
      <c:valAx>
        <c:axId val="11124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[Niyati_exceldashboard.xlsx]Pivot tables!PivotTable9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Task</a:t>
            </a:r>
            <a:r>
              <a:rPr lang="en-US" baseline="0"/>
              <a:t> compilation status</a:t>
            </a:r>
            <a:endParaRPr lang="en-US"/>
          </a:p>
        </c:rich>
      </c:tx>
      <c:layout>
        <c:manualLayout>
          <c:xMode val="edge"/>
          <c:yMode val="edge"/>
          <c:x val="0.3155485564304462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s>
    <c:plotArea>
      <c:layout/>
      <c:doughnut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E60-8826-C10A0797EB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E60-8826-C10A0797EB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E60-8826-C10A0797EB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E60-8826-C10A0797EB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E60-8826-C10A0797EB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55-4E60-8826-C10A0797EBF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55-4E60-8826-C10A0797EBF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55-4E60-8826-C10A0797EBF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55-4E60-8826-C10A0797EBF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55-4E60-8826-C10A0797EBF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D55-4E60-8826-C10A0797EBF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D55-4E60-8826-C10A0797EBF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D55-4E60-8826-C10A0797EBF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D55-4E60-8826-C10A0797EBF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D55-4E60-8826-C10A0797EBF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D55-4E60-8826-C10A0797EBF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D55-4E60-8826-C10A0797EBFF}"/>
              </c:ext>
            </c:extLst>
          </c:dPt>
          <c:cat>
            <c:strRef>
              <c:f>'Pivot tables'!$G$4:$G$21</c:f>
              <c:strCache>
                <c:ptCount val="17"/>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Project Name</c:v>
                </c:pt>
                <c:pt idx="12">
                  <c:v>Research</c:v>
                </c:pt>
                <c:pt idx="13">
                  <c:v>Sales</c:v>
                </c:pt>
                <c:pt idx="14">
                  <c:v>Support</c:v>
                </c:pt>
                <c:pt idx="15">
                  <c:v>Training</c:v>
                </c:pt>
                <c:pt idx="16">
                  <c:v>(blank)</c:v>
                </c:pt>
              </c:strCache>
            </c:strRef>
          </c:cat>
          <c:val>
            <c:numRef>
              <c:f>'Pivot tables'!$H$4:$H$21</c:f>
              <c:numCache>
                <c:formatCode>General</c:formatCode>
                <c:ptCount val="17"/>
                <c:pt idx="0">
                  <c:v>3</c:v>
                </c:pt>
                <c:pt idx="1">
                  <c:v>3</c:v>
                </c:pt>
                <c:pt idx="2">
                  <c:v>3</c:v>
                </c:pt>
                <c:pt idx="3">
                  <c:v>3</c:v>
                </c:pt>
                <c:pt idx="4">
                  <c:v>3</c:v>
                </c:pt>
                <c:pt idx="5">
                  <c:v>3</c:v>
                </c:pt>
                <c:pt idx="6">
                  <c:v>3</c:v>
                </c:pt>
                <c:pt idx="7">
                  <c:v>4</c:v>
                </c:pt>
                <c:pt idx="8">
                  <c:v>3</c:v>
                </c:pt>
                <c:pt idx="9">
                  <c:v>3</c:v>
                </c:pt>
                <c:pt idx="10">
                  <c:v>3</c:v>
                </c:pt>
                <c:pt idx="11">
                  <c:v>1</c:v>
                </c:pt>
                <c:pt idx="12">
                  <c:v>3</c:v>
                </c:pt>
                <c:pt idx="13">
                  <c:v>3</c:v>
                </c:pt>
                <c:pt idx="14">
                  <c:v>3</c:v>
                </c:pt>
                <c:pt idx="15">
                  <c:v>3</c:v>
                </c:pt>
              </c:numCache>
            </c:numRef>
          </c:val>
          <c:extLst>
            <c:ext xmlns:c16="http://schemas.microsoft.com/office/drawing/2014/chart" uri="{C3380CC4-5D6E-409C-BE32-E72D297353CC}">
              <c16:uniqueId val="{00000022-FD55-4E60-8826-C10A0797EB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10</xdr:row>
      <xdr:rowOff>15240</xdr:rowOff>
    </xdr:from>
    <xdr:to>
      <xdr:col>5</xdr:col>
      <xdr:colOff>45720</xdr:colOff>
      <xdr:row>24</xdr:row>
      <xdr:rowOff>36195</xdr:rowOff>
    </xdr:to>
    <mc:AlternateContent xmlns:mc="http://schemas.openxmlformats.org/markup-compatibility/2006">
      <mc:Choice xmlns:a14="http://schemas.microsoft.com/office/drawing/2010/main" Requires="a14">
        <xdr:graphicFrame macro="">
          <xdr:nvGraphicFramePr>
            <xdr:cNvPr id="6" name="Project Management Data">
              <a:extLst>
                <a:ext uri="{FF2B5EF4-FFF2-40B4-BE49-F238E27FC236}">
                  <a16:creationId xmlns:a16="http://schemas.microsoft.com/office/drawing/2014/main" id="{3694DE93-96CD-9A0B-60B8-FA38EE4F70B3}"/>
                </a:ext>
              </a:extLst>
            </xdr:cNvPr>
            <xdr:cNvGraphicFramePr/>
          </xdr:nvGraphicFramePr>
          <xdr:xfrm>
            <a:off x="0" y="0"/>
            <a:ext cx="0" cy="0"/>
          </xdr:xfrm>
          <a:graphic>
            <a:graphicData uri="http://schemas.microsoft.com/office/drawing/2010/slicer">
              <sle:slicer xmlns:sle="http://schemas.microsoft.com/office/drawing/2010/slicer" name="Project Management Data"/>
            </a:graphicData>
          </a:graphic>
        </xdr:graphicFrame>
      </mc:Choice>
      <mc:Fallback>
        <xdr:sp macro="" textlink="">
          <xdr:nvSpPr>
            <xdr:cNvPr id="0" name=""/>
            <xdr:cNvSpPr>
              <a:spLocks noTextEdit="1"/>
            </xdr:cNvSpPr>
          </xdr:nvSpPr>
          <xdr:spPr>
            <a:xfrm>
              <a:off x="3162300" y="1844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11</xdr:row>
      <xdr:rowOff>22860</xdr:rowOff>
    </xdr:from>
    <xdr:to>
      <xdr:col>13</xdr:col>
      <xdr:colOff>190500</xdr:colOff>
      <xdr:row>25</xdr:row>
      <xdr:rowOff>43815</xdr:rowOff>
    </xdr:to>
    <mc:AlternateContent xmlns:mc="http://schemas.openxmlformats.org/markup-compatibility/2006">
      <mc:Choice xmlns:a14="http://schemas.microsoft.com/office/drawing/2010/main" Requires="a14">
        <xdr:graphicFrame macro="">
          <xdr:nvGraphicFramePr>
            <xdr:cNvPr id="7" name="Column7">
              <a:extLst>
                <a:ext uri="{FF2B5EF4-FFF2-40B4-BE49-F238E27FC236}">
                  <a16:creationId xmlns:a16="http://schemas.microsoft.com/office/drawing/2014/main" id="{B1CA12B7-AB2E-6F8E-692A-E541EB64C14C}"/>
                </a:ext>
              </a:extLst>
            </xdr:cNvPr>
            <xdr:cNvGraphicFramePr/>
          </xdr:nvGraphicFramePr>
          <xdr:xfrm>
            <a:off x="0" y="0"/>
            <a:ext cx="0" cy="0"/>
          </xdr:xfrm>
          <a:graphic>
            <a:graphicData uri="http://schemas.microsoft.com/office/drawing/2010/slicer">
              <sle:slicer xmlns:sle="http://schemas.microsoft.com/office/drawing/2010/slicer" name="Column7"/>
            </a:graphicData>
          </a:graphic>
        </xdr:graphicFrame>
      </mc:Choice>
      <mc:Fallback>
        <xdr:sp macro="" textlink="">
          <xdr:nvSpPr>
            <xdr:cNvPr id="0" name=""/>
            <xdr:cNvSpPr>
              <a:spLocks noTextEdit="1"/>
            </xdr:cNvSpPr>
          </xdr:nvSpPr>
          <xdr:spPr>
            <a:xfrm>
              <a:off x="8473440" y="2034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xdr:row>
      <xdr:rowOff>60960</xdr:rowOff>
    </xdr:from>
    <xdr:to>
      <xdr:col>6</xdr:col>
      <xdr:colOff>228600</xdr:colOff>
      <xdr:row>16</xdr:row>
      <xdr:rowOff>60960</xdr:rowOff>
    </xdr:to>
    <xdr:graphicFrame macro="">
      <xdr:nvGraphicFramePr>
        <xdr:cNvPr id="2" name="Chart 1">
          <a:extLst>
            <a:ext uri="{FF2B5EF4-FFF2-40B4-BE49-F238E27FC236}">
              <a16:creationId xmlns:a16="http://schemas.microsoft.com/office/drawing/2014/main" id="{C9DD6E5A-BF6C-4766-974E-633BBFE55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1</xdr:row>
      <xdr:rowOff>68580</xdr:rowOff>
    </xdr:from>
    <xdr:to>
      <xdr:col>14</xdr:col>
      <xdr:colOff>160020</xdr:colOff>
      <xdr:row>16</xdr:row>
      <xdr:rowOff>68580</xdr:rowOff>
    </xdr:to>
    <xdr:graphicFrame macro="">
      <xdr:nvGraphicFramePr>
        <xdr:cNvPr id="3" name="Chart 2">
          <a:extLst>
            <a:ext uri="{FF2B5EF4-FFF2-40B4-BE49-F238E27FC236}">
              <a16:creationId xmlns:a16="http://schemas.microsoft.com/office/drawing/2014/main" id="{4A1C1E08-65D6-4163-ABD2-8F29CCF53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426720</xdr:colOff>
      <xdr:row>18</xdr:row>
      <xdr:rowOff>76200</xdr:rowOff>
    </xdr:from>
    <xdr:to>
      <xdr:col>10</xdr:col>
      <xdr:colOff>121920</xdr:colOff>
      <xdr:row>33</xdr:row>
      <xdr:rowOff>76200</xdr:rowOff>
    </xdr:to>
    <xdr:graphicFrame macro="">
      <xdr:nvGraphicFramePr>
        <xdr:cNvPr id="6" name="Chart 5">
          <a:extLst>
            <a:ext uri="{FF2B5EF4-FFF2-40B4-BE49-F238E27FC236}">
              <a16:creationId xmlns:a16="http://schemas.microsoft.com/office/drawing/2014/main" id="{4DDF2012-57F4-4489-92B3-BC5693051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6</xdr:row>
      <xdr:rowOff>0</xdr:rowOff>
    </xdr:from>
    <xdr:to>
      <xdr:col>4</xdr:col>
      <xdr:colOff>472440</xdr:colOff>
      <xdr:row>21</xdr:row>
      <xdr:rowOff>0</xdr:rowOff>
    </xdr:to>
    <xdr:graphicFrame macro="">
      <xdr:nvGraphicFramePr>
        <xdr:cNvPr id="2" name="Chart 1">
          <a:extLst>
            <a:ext uri="{FF2B5EF4-FFF2-40B4-BE49-F238E27FC236}">
              <a16:creationId xmlns:a16="http://schemas.microsoft.com/office/drawing/2014/main" id="{0D4519D9-B46D-4EE1-A03A-7FE72829C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6</xdr:row>
      <xdr:rowOff>7620</xdr:rowOff>
    </xdr:from>
    <xdr:to>
      <xdr:col>12</xdr:col>
      <xdr:colOff>327660</xdr:colOff>
      <xdr:row>21</xdr:row>
      <xdr:rowOff>7620</xdr:rowOff>
    </xdr:to>
    <xdr:graphicFrame macro="">
      <xdr:nvGraphicFramePr>
        <xdr:cNvPr id="3" name="Chart 2">
          <a:extLst>
            <a:ext uri="{FF2B5EF4-FFF2-40B4-BE49-F238E27FC236}">
              <a16:creationId xmlns:a16="http://schemas.microsoft.com/office/drawing/2014/main" id="{C312AD07-74FC-4191-AE69-F7753BB6E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22</xdr:row>
      <xdr:rowOff>15240</xdr:rowOff>
    </xdr:from>
    <xdr:to>
      <xdr:col>8</xdr:col>
      <xdr:colOff>274320</xdr:colOff>
      <xdr:row>37</xdr:row>
      <xdr:rowOff>15240</xdr:rowOff>
    </xdr:to>
    <xdr:graphicFrame macro="">
      <xdr:nvGraphicFramePr>
        <xdr:cNvPr id="4" name="Chart 3">
          <a:extLst>
            <a:ext uri="{FF2B5EF4-FFF2-40B4-BE49-F238E27FC236}">
              <a16:creationId xmlns:a16="http://schemas.microsoft.com/office/drawing/2014/main" id="{0DCD52FE-918B-4C95-98BB-28134B5EB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roject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_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YATI PATEL" refreshedDate="46310.824822222225" createdVersion="8" refreshedVersion="8" minRefreshableVersion="3" recordCount="48" xr:uid="{BDE307F9-89E8-44CA-9558-058E549F780F}">
  <cacheSource type="worksheet">
    <worksheetSource name="project_data"/>
  </cacheSource>
  <cacheFields count="8">
    <cacheField name="Project Management Data" numFmtId="0">
      <sharedItems containsBlank="1" count="17">
        <m/>
        <s v="Project Name"/>
        <s v="Marketing"/>
        <s v="Product Dev"/>
        <s v="Customer Svc"/>
        <s v="Financial"/>
        <s v="Research"/>
        <s v="Development"/>
        <s v="Production"/>
        <s v="Sales"/>
        <s v="Support"/>
        <s v="Operations"/>
        <s v="Consulting"/>
        <s v="Training"/>
        <s v="Events"/>
        <s v="Logistics"/>
        <s v="Engineering"/>
      </sharedItems>
    </cacheField>
    <cacheField name="Column1" numFmtId="0">
      <sharedItems containsBlank="1" count="48">
        <m/>
        <s v="Task Name"/>
        <s v="Market Research"/>
        <s v="Content Creation"/>
        <s v="Social Media Planning"/>
        <s v="Campaign Analysis"/>
        <s v="Prototype Development"/>
        <s v="Quality Assurance"/>
        <s v="User Interface Design"/>
        <s v="Service Improvement"/>
        <s v="Ticket Resolution"/>
        <s v="Customer Feedback"/>
        <s v="Budget Analysis"/>
        <s v="Financial Reporting"/>
        <s v="Investment Planning"/>
        <s v="Market Trends Analysis"/>
        <s v="Data Collection"/>
        <s v="Research Paper Writing"/>
        <s v="Software Development"/>
        <s v="Feature Enhancement"/>
        <s v="Code Review"/>
        <s v="Manufacturing"/>
        <s v="Quality Control"/>
        <s v="Packaging Design"/>
        <s v="Lead Generation"/>
        <s v="Client Meetings"/>
        <s v="Contract Negotiation"/>
        <s v="Technical Support"/>
        <s v="Bug Fixes"/>
        <s v="Software Updates"/>
        <s v="Process Optimization"/>
        <s v="Inventory Management"/>
        <s v="Facility Maintenance"/>
        <s v="Strategic Planning"/>
        <s v="Market Expansion"/>
        <s v="Client Advisory"/>
        <s v="Employee Training"/>
        <s v="Certification Programs"/>
        <s v="Skill Development"/>
        <s v="Event Planning"/>
        <s v="Conference Management"/>
        <s v="Sponsorship Coordinatio"/>
        <s v="Supply Chain Management"/>
        <s v="Transportation Planning"/>
        <s v="Inventory Optimization"/>
        <s v="Product Design"/>
        <s v="System Integration"/>
        <s v="Prototype Testing"/>
      </sharedItems>
    </cacheField>
    <cacheField name="Column2" numFmtId="0">
      <sharedItems containsBlank="1" count="44">
        <m/>
        <s v="Assigned to"/>
        <s v="Alice"/>
        <s v="Bob"/>
        <s v="Charlie"/>
        <s v="Daisy"/>
        <s v="Ethan"/>
        <s v="Fiona"/>
        <s v="Gabriel"/>
        <s v="Hannah"/>
        <s v="Ian"/>
        <s v="Julia"/>
        <s v="Kevin"/>
        <s v="Mark"/>
        <s v="Nathan"/>
        <s v="Olivia"/>
        <s v="Peter"/>
        <s v="Quinn"/>
        <s v="Rachel"/>
        <s v="Sam"/>
        <s v="Tim"/>
        <s v="Ursula"/>
        <s v="Victor"/>
        <s v="Wendy"/>
        <s v="Xavier"/>
        <s v="Yvette"/>
        <s v="Zoe"/>
        <s v="Aaron"/>
        <s v="Bella"/>
        <s v="Calvin"/>
        <s v="Diane"/>
        <s v="Edward"/>
        <s v="Gary"/>
        <s v="Helen"/>
        <s v="Isaac"/>
        <s v="Jane"/>
        <s v="Kyle"/>
        <s v="Laura"/>
        <s v="Mike"/>
        <s v="n Nancy"/>
        <s v="Oscar"/>
        <s v="Patricia"/>
        <s v="Quentin"/>
        <s v="Tom"/>
      </sharedItems>
    </cacheField>
    <cacheField name="Column3" numFmtId="165">
      <sharedItems containsDate="1" containsBlank="1" containsMixedTypes="1" minDate="2024-01-01T00:00:00" maxDate="2024-03-30T00:00:00"/>
    </cacheField>
    <cacheField name="Column4" numFmtId="0">
      <sharedItems containsBlank="1" containsMixedTypes="1" containsNumber="1" containsInteger="1" minValue="10" maxValue="60"/>
    </cacheField>
    <cacheField name="Column5" numFmtId="0">
      <sharedItems containsDate="1" containsBlank="1" containsMixedTypes="1" minDate="2024-01-14T00:00:00" maxDate="2024-04-21T00:00:00" count="36">
        <m/>
        <s v="End Date"/>
        <d v="2024-01-14T00:00:00"/>
        <d v="2024-01-28T00:00:00"/>
        <d v="2024-02-19T00:00:00"/>
        <d v="2024-03-14T00:00:00"/>
        <d v="2024-01-20T00:00:00"/>
        <d v="2024-01-30T00:00:00"/>
        <d v="2024-02-29T00:00:00"/>
        <d v="2024-02-23T00:00:00"/>
        <d v="2024-03-20T00:00:00"/>
        <d v="2024-04-20T00:00:00"/>
        <d v="2024-02-24T00:00:00"/>
        <d v="2024-02-09T00:00:00"/>
        <d v="2024-04-13T00:00:00"/>
        <d v="2024-01-25T00:00:00"/>
        <d v="2024-02-27T00:00:00"/>
        <d v="2024-03-26T00:00:00"/>
        <d v="2024-02-07T00:00:00"/>
        <d v="2024-03-13T00:00:00"/>
        <d v="2024-03-15T00:00:00"/>
        <d v="2024-04-05T00:00:00"/>
        <d v="2024-03-03T00:00:00"/>
        <d v="2024-01-26T00:00:00"/>
        <d v="2024-03-09T00:00:00"/>
        <d v="2024-03-24T00:00:00"/>
        <d v="2024-02-02T00:00:00"/>
        <d v="2024-02-28T00:00:00"/>
        <d v="2024-02-06T00:00:00"/>
        <d v="2024-03-05T00:00:00"/>
        <d v="2024-03-31T00:00:00"/>
        <d v="2024-01-31T00:00:00"/>
        <d v="2024-03-21T00:00:00"/>
        <d v="2024-03-30T00:00:00"/>
        <d v="2024-04-18T00:00:00"/>
        <d v="2024-01-27T00:00:00"/>
      </sharedItems>
    </cacheField>
    <cacheField name="Column6" numFmtId="9">
      <sharedItems containsBlank="1" containsMixedTypes="1" containsNumber="1" minValue="0" maxValue="1"/>
    </cacheField>
    <cacheField name="Column7" numFmtId="0">
      <sharedItems containsBlank="1" count="5">
        <m/>
        <s v="Task Status"/>
        <s v="in progress"/>
        <s v="completed"/>
        <s v="not started"/>
      </sharedItems>
    </cacheField>
  </cacheFields>
  <extLst>
    <ext xmlns:x14="http://schemas.microsoft.com/office/spreadsheetml/2009/9/main" uri="{725AE2AE-9491-48be-B2B4-4EB974FC3084}">
      <x14:pivotCacheDefinition pivotCacheId="61942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m/>
    <m/>
    <x v="0"/>
    <m/>
    <x v="0"/>
  </r>
  <r>
    <x v="1"/>
    <x v="1"/>
    <x v="1"/>
    <s v="Start Date"/>
    <s v="Days Required"/>
    <x v="1"/>
    <s v="Progress"/>
    <x v="1"/>
  </r>
  <r>
    <x v="2"/>
    <x v="2"/>
    <x v="2"/>
    <d v="2024-01-01T00:00:00"/>
    <n v="13"/>
    <x v="2"/>
    <n v="0.78"/>
    <x v="2"/>
  </r>
  <r>
    <x v="2"/>
    <x v="3"/>
    <x v="3"/>
    <d v="2024-01-14T00:00:00"/>
    <n v="14"/>
    <x v="3"/>
    <n v="1"/>
    <x v="3"/>
  </r>
  <r>
    <x v="2"/>
    <x v="4"/>
    <x v="4"/>
    <d v="2024-01-28T00:00:00"/>
    <n v="22"/>
    <x v="4"/>
    <n v="0.45"/>
    <x v="2"/>
  </r>
  <r>
    <x v="2"/>
    <x v="5"/>
    <x v="5"/>
    <d v="2024-02-18T00:00:00"/>
    <n v="25"/>
    <x v="5"/>
    <n v="0"/>
    <x v="4"/>
  </r>
  <r>
    <x v="3"/>
    <x v="6"/>
    <x v="6"/>
    <d v="2024-01-02T00:00:00"/>
    <n v="18"/>
    <x v="6"/>
    <n v="1"/>
    <x v="3"/>
  </r>
  <r>
    <x v="3"/>
    <x v="7"/>
    <x v="7"/>
    <d v="2024-01-20T00:00:00"/>
    <n v="10"/>
    <x v="7"/>
    <n v="0.78"/>
    <x v="2"/>
  </r>
  <r>
    <x v="3"/>
    <x v="8"/>
    <x v="8"/>
    <d v="2024-02-04T00:00:00"/>
    <n v="25"/>
    <x v="8"/>
    <n v="0"/>
    <x v="4"/>
  </r>
  <r>
    <x v="4"/>
    <x v="9"/>
    <x v="9"/>
    <d v="2024-02-01T00:00:00"/>
    <n v="22"/>
    <x v="9"/>
    <n v="1"/>
    <x v="3"/>
  </r>
  <r>
    <x v="4"/>
    <x v="10"/>
    <x v="10"/>
    <d v="2024-02-24T00:00:00"/>
    <n v="25"/>
    <x v="10"/>
    <n v="1"/>
    <x v="3"/>
  </r>
  <r>
    <x v="4"/>
    <x v="11"/>
    <x v="11"/>
    <d v="2024-03-21T00:00:00"/>
    <n v="30"/>
    <x v="11"/>
    <n v="0"/>
    <x v="4"/>
  </r>
  <r>
    <x v="5"/>
    <x v="12"/>
    <x v="12"/>
    <d v="2024-02-02T00:00:00"/>
    <n v="22"/>
    <x v="12"/>
    <n v="0.1"/>
    <x v="2"/>
  </r>
  <r>
    <x v="5"/>
    <x v="13"/>
    <x v="13"/>
    <d v="2024-02-13T00:00:00"/>
    <n v="21"/>
    <x v="13"/>
    <n v="0.78"/>
    <x v="2"/>
  </r>
  <r>
    <x v="5"/>
    <x v="14"/>
    <x v="13"/>
    <d v="2024-03-19T00:00:00"/>
    <n v="25"/>
    <x v="14"/>
    <n v="1"/>
    <x v="3"/>
  </r>
  <r>
    <x v="6"/>
    <x v="15"/>
    <x v="14"/>
    <d v="2024-01-02T00:00:00"/>
    <n v="23"/>
    <x v="15"/>
    <n v="0.5"/>
    <x v="2"/>
  </r>
  <r>
    <x v="6"/>
    <x v="16"/>
    <x v="15"/>
    <d v="2024-01-26T00:00:00"/>
    <n v="32"/>
    <x v="16"/>
    <n v="0"/>
    <x v="4"/>
  </r>
  <r>
    <x v="6"/>
    <x v="17"/>
    <x v="16"/>
    <d v="2024-02-28T00:00:00"/>
    <n v="27"/>
    <x v="17"/>
    <n v="0"/>
    <x v="4"/>
  </r>
  <r>
    <x v="7"/>
    <x v="18"/>
    <x v="17"/>
    <d v="2024-01-02T00:00:00"/>
    <n v="36"/>
    <x v="18"/>
    <n v="1"/>
    <x v="3"/>
  </r>
  <r>
    <x v="7"/>
    <x v="19"/>
    <x v="18"/>
    <d v="2024-02-08T00:00:00"/>
    <n v="34"/>
    <x v="19"/>
    <n v="0"/>
    <x v="4"/>
  </r>
  <r>
    <x v="7"/>
    <x v="20"/>
    <x v="19"/>
    <d v="2024-03-14T00:00:00"/>
    <n v="30"/>
    <x v="14"/>
    <n v="0"/>
    <x v="4"/>
  </r>
  <r>
    <x v="8"/>
    <x v="21"/>
    <x v="20"/>
    <d v="2024-01-03T00:00:00"/>
    <n v="47"/>
    <x v="4"/>
    <n v="0.3"/>
    <x v="2"/>
  </r>
  <r>
    <x v="8"/>
    <x v="22"/>
    <x v="21"/>
    <d v="2024-02-17T00:00:00"/>
    <n v="27"/>
    <x v="20"/>
    <n v="0"/>
    <x v="4"/>
  </r>
  <r>
    <x v="8"/>
    <x v="23"/>
    <x v="22"/>
    <d v="2024-03-14T00:00:00"/>
    <n v="22"/>
    <x v="21"/>
    <n v="0"/>
    <x v="4"/>
  </r>
  <r>
    <x v="9"/>
    <x v="24"/>
    <x v="23"/>
    <d v="2024-01-03T00:00:00"/>
    <n v="60"/>
    <x v="22"/>
    <n v="0.7"/>
    <x v="2"/>
  </r>
  <r>
    <x v="9"/>
    <x v="25"/>
    <x v="24"/>
    <d v="2024-01-06T00:00:00"/>
    <n v="20"/>
    <x v="23"/>
    <n v="0.78"/>
    <x v="2"/>
  </r>
  <r>
    <x v="9"/>
    <x v="26"/>
    <x v="25"/>
    <d v="2024-02-03T00:00:00"/>
    <n v="35"/>
    <x v="24"/>
    <n v="0"/>
    <x v="4"/>
  </r>
  <r>
    <x v="10"/>
    <x v="27"/>
    <x v="26"/>
    <d v="2024-01-01T00:00:00"/>
    <n v="25"/>
    <x v="23"/>
    <n v="1"/>
    <x v="3"/>
  </r>
  <r>
    <x v="10"/>
    <x v="28"/>
    <x v="27"/>
    <d v="2024-01-27T00:00:00"/>
    <n v="31"/>
    <x v="16"/>
    <n v="1"/>
    <x v="3"/>
  </r>
  <r>
    <x v="10"/>
    <x v="29"/>
    <x v="28"/>
    <d v="2024-03-02T00:00:00"/>
    <n v="22"/>
    <x v="25"/>
    <n v="0"/>
    <x v="4"/>
  </r>
  <r>
    <x v="11"/>
    <x v="30"/>
    <x v="29"/>
    <d v="2024-01-03T00:00:00"/>
    <n v="30"/>
    <x v="26"/>
    <n v="0.4"/>
    <x v="2"/>
  </r>
  <r>
    <x v="11"/>
    <x v="31"/>
    <x v="30"/>
    <d v="2024-02-03T00:00:00"/>
    <n v="25"/>
    <x v="27"/>
    <n v="0"/>
    <x v="4"/>
  </r>
  <r>
    <x v="11"/>
    <x v="32"/>
    <x v="31"/>
    <d v="2024-02-29T00:00:00"/>
    <n v="20"/>
    <x v="10"/>
    <n v="0"/>
    <x v="4"/>
  </r>
  <r>
    <x v="12"/>
    <x v="33"/>
    <x v="7"/>
    <d v="2024-01-02T00:00:00"/>
    <n v="35"/>
    <x v="28"/>
    <n v="0.6"/>
    <x v="2"/>
  </r>
  <r>
    <x v="12"/>
    <x v="34"/>
    <x v="32"/>
    <d v="2024-02-02T00:00:00"/>
    <n v="32"/>
    <x v="29"/>
    <n v="0"/>
    <x v="4"/>
  </r>
  <r>
    <x v="12"/>
    <x v="35"/>
    <x v="33"/>
    <d v="2024-03-06T00:00:00"/>
    <n v="25"/>
    <x v="30"/>
    <n v="0"/>
    <x v="4"/>
  </r>
  <r>
    <x v="13"/>
    <x v="36"/>
    <x v="34"/>
    <d v="2024-01-04T00:00:00"/>
    <n v="27"/>
    <x v="31"/>
    <n v="0.8"/>
    <x v="2"/>
  </r>
  <r>
    <x v="13"/>
    <x v="37"/>
    <x v="35"/>
    <d v="2024-01-28T00:00:00"/>
    <n v="30"/>
    <x v="16"/>
    <n v="0"/>
    <x v="4"/>
  </r>
  <r>
    <x v="13"/>
    <x v="38"/>
    <x v="36"/>
    <d v="2024-02-28T00:00:00"/>
    <n v="22"/>
    <x v="32"/>
    <n v="0"/>
    <x v="4"/>
  </r>
  <r>
    <x v="14"/>
    <x v="39"/>
    <x v="37"/>
    <d v="2024-01-03T00:00:00"/>
    <n v="25"/>
    <x v="3"/>
    <n v="0.3"/>
    <x v="2"/>
  </r>
  <r>
    <x v="14"/>
    <x v="40"/>
    <x v="38"/>
    <d v="2024-02-03T00:00:00"/>
    <n v="20"/>
    <x v="9"/>
    <n v="0"/>
    <x v="4"/>
  </r>
  <r>
    <x v="14"/>
    <x v="41"/>
    <x v="39"/>
    <d v="2024-02-24T00:00:00"/>
    <n v="35"/>
    <x v="33"/>
    <n v="0"/>
    <x v="4"/>
  </r>
  <r>
    <x v="15"/>
    <x v="42"/>
    <x v="40"/>
    <d v="2024-01-03T00:00:00"/>
    <n v="25"/>
    <x v="3"/>
    <n v="0.5"/>
    <x v="2"/>
  </r>
  <r>
    <x v="15"/>
    <x v="43"/>
    <x v="41"/>
    <d v="2024-01-29T00:00:00"/>
    <n v="30"/>
    <x v="27"/>
    <n v="1"/>
    <x v="3"/>
  </r>
  <r>
    <x v="15"/>
    <x v="44"/>
    <x v="42"/>
    <d v="2024-03-29T00:00:00"/>
    <n v="20"/>
    <x v="34"/>
    <n v="0"/>
    <x v="4"/>
  </r>
  <r>
    <x v="16"/>
    <x v="45"/>
    <x v="18"/>
    <d v="2024-01-02T00:00:00"/>
    <n v="25"/>
    <x v="35"/>
    <n v="0.2"/>
    <x v="2"/>
  </r>
  <r>
    <x v="16"/>
    <x v="46"/>
    <x v="19"/>
    <d v="2024-02-02T00:00:00"/>
    <n v="22"/>
    <x v="12"/>
    <n v="0"/>
    <x v="4"/>
  </r>
  <r>
    <x v="16"/>
    <x v="47"/>
    <x v="43"/>
    <d v="2024-02-23T00:00:00"/>
    <n v="27"/>
    <x v="32"/>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598EB2-83D2-4833-9B27-E8C68E87B04A}"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name">
  <location ref="G3:H21" firstHeaderRow="1" firstDataRow="1" firstDataCol="1"/>
  <pivotFields count="8">
    <pivotField axis="axisRow" showAll="0">
      <items count="18">
        <item x="12"/>
        <item x="4"/>
        <item x="7"/>
        <item x="16"/>
        <item x="14"/>
        <item x="5"/>
        <item x="15"/>
        <item x="2"/>
        <item x="11"/>
        <item x="3"/>
        <item x="8"/>
        <item x="1"/>
        <item x="6"/>
        <item x="9"/>
        <item x="10"/>
        <item x="13"/>
        <item x="0"/>
        <item t="default"/>
      </items>
    </pivotField>
    <pivotField showAll="0"/>
    <pivotField showAll="0"/>
    <pivotField showAll="0"/>
    <pivotField showAll="0"/>
    <pivotField showAll="0"/>
    <pivotField dataField="1" showAll="0"/>
    <pivotField showAll="0">
      <items count="6">
        <item x="3"/>
        <item x="2"/>
        <item x="4"/>
        <item x="1"/>
        <item x="0"/>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Column6" fld="6" subtotal="count" baseField="0" baseItem="0"/>
  </dataFields>
  <chartFormats count="36">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 chart="7" format="22">
      <pivotArea type="data" outline="0" fieldPosition="0">
        <references count="2">
          <reference field="4294967294" count="1" selected="0">
            <x v="0"/>
          </reference>
          <reference field="0" count="1" selected="0">
            <x v="2"/>
          </reference>
        </references>
      </pivotArea>
    </chartFormat>
    <chartFormat chart="7" format="23">
      <pivotArea type="data" outline="0" fieldPosition="0">
        <references count="2">
          <reference field="4294967294" count="1" selected="0">
            <x v="0"/>
          </reference>
          <reference field="0" count="1" selected="0">
            <x v="3"/>
          </reference>
        </references>
      </pivotArea>
    </chartFormat>
    <chartFormat chart="7" format="24">
      <pivotArea type="data" outline="0" fieldPosition="0">
        <references count="2">
          <reference field="4294967294" count="1" selected="0">
            <x v="0"/>
          </reference>
          <reference field="0" count="1" selected="0">
            <x v="4"/>
          </reference>
        </references>
      </pivotArea>
    </chartFormat>
    <chartFormat chart="7" format="25">
      <pivotArea type="data" outline="0" fieldPosition="0">
        <references count="2">
          <reference field="4294967294" count="1" selected="0">
            <x v="0"/>
          </reference>
          <reference field="0" count="1" selected="0">
            <x v="5"/>
          </reference>
        </references>
      </pivotArea>
    </chartFormat>
    <chartFormat chart="7" format="26">
      <pivotArea type="data" outline="0" fieldPosition="0">
        <references count="2">
          <reference field="4294967294" count="1" selected="0">
            <x v="0"/>
          </reference>
          <reference field="0" count="1" selected="0">
            <x v="6"/>
          </reference>
        </references>
      </pivotArea>
    </chartFormat>
    <chartFormat chart="7" format="27">
      <pivotArea type="data" outline="0" fieldPosition="0">
        <references count="2">
          <reference field="4294967294" count="1" selected="0">
            <x v="0"/>
          </reference>
          <reference field="0" count="1" selected="0">
            <x v="7"/>
          </reference>
        </references>
      </pivotArea>
    </chartFormat>
    <chartFormat chart="7" format="28">
      <pivotArea type="data" outline="0" fieldPosition="0">
        <references count="2">
          <reference field="4294967294" count="1" selected="0">
            <x v="0"/>
          </reference>
          <reference field="0" count="1" selected="0">
            <x v="8"/>
          </reference>
        </references>
      </pivotArea>
    </chartFormat>
    <chartFormat chart="7" format="29">
      <pivotArea type="data" outline="0" fieldPosition="0">
        <references count="2">
          <reference field="4294967294" count="1" selected="0">
            <x v="0"/>
          </reference>
          <reference field="0" count="1" selected="0">
            <x v="9"/>
          </reference>
        </references>
      </pivotArea>
    </chartFormat>
    <chartFormat chart="7" format="30">
      <pivotArea type="data" outline="0" fieldPosition="0">
        <references count="2">
          <reference field="4294967294" count="1" selected="0">
            <x v="0"/>
          </reference>
          <reference field="0" count="1" selected="0">
            <x v="10"/>
          </reference>
        </references>
      </pivotArea>
    </chartFormat>
    <chartFormat chart="7" format="31">
      <pivotArea type="data" outline="0" fieldPosition="0">
        <references count="2">
          <reference field="4294967294" count="1" selected="0">
            <x v="0"/>
          </reference>
          <reference field="0" count="1" selected="0">
            <x v="11"/>
          </reference>
        </references>
      </pivotArea>
    </chartFormat>
    <chartFormat chart="7" format="32">
      <pivotArea type="data" outline="0" fieldPosition="0">
        <references count="2">
          <reference field="4294967294" count="1" selected="0">
            <x v="0"/>
          </reference>
          <reference field="0" count="1" selected="0">
            <x v="12"/>
          </reference>
        </references>
      </pivotArea>
    </chartFormat>
    <chartFormat chart="7" format="33">
      <pivotArea type="data" outline="0" fieldPosition="0">
        <references count="2">
          <reference field="4294967294" count="1" selected="0">
            <x v="0"/>
          </reference>
          <reference field="0" count="1" selected="0">
            <x v="13"/>
          </reference>
        </references>
      </pivotArea>
    </chartFormat>
    <chartFormat chart="7" format="34">
      <pivotArea type="data" outline="0" fieldPosition="0">
        <references count="2">
          <reference field="4294967294" count="1" selected="0">
            <x v="0"/>
          </reference>
          <reference field="0" count="1" selected="0">
            <x v="14"/>
          </reference>
        </references>
      </pivotArea>
    </chartFormat>
    <chartFormat chart="7" format="35">
      <pivotArea type="data" outline="0" fieldPosition="0">
        <references count="2">
          <reference field="4294967294" count="1" selected="0">
            <x v="0"/>
          </reference>
          <reference field="0" count="1" selected="0">
            <x v="15"/>
          </reference>
        </references>
      </pivotArea>
    </chartFormat>
    <chartFormat chart="7" format="36">
      <pivotArea type="data" outline="0" fieldPosition="0">
        <references count="2">
          <reference field="4294967294" count="1" selected="0">
            <x v="0"/>
          </reference>
          <reference field="0" count="1" selected="0">
            <x v="16"/>
          </reference>
        </references>
      </pivotArea>
    </chartFormat>
    <chartFormat chart="11" format="55" series="1">
      <pivotArea type="data" outline="0" fieldPosition="0">
        <references count="1">
          <reference field="4294967294" count="1" selected="0">
            <x v="0"/>
          </reference>
        </references>
      </pivotArea>
    </chartFormat>
    <chartFormat chart="11" format="56">
      <pivotArea type="data" outline="0" fieldPosition="0">
        <references count="2">
          <reference field="4294967294" count="1" selected="0">
            <x v="0"/>
          </reference>
          <reference field="0" count="1" selected="0">
            <x v="0"/>
          </reference>
        </references>
      </pivotArea>
    </chartFormat>
    <chartFormat chart="11" format="57">
      <pivotArea type="data" outline="0" fieldPosition="0">
        <references count="2">
          <reference field="4294967294" count="1" selected="0">
            <x v="0"/>
          </reference>
          <reference field="0" count="1" selected="0">
            <x v="1"/>
          </reference>
        </references>
      </pivotArea>
    </chartFormat>
    <chartFormat chart="11" format="58">
      <pivotArea type="data" outline="0" fieldPosition="0">
        <references count="2">
          <reference field="4294967294" count="1" selected="0">
            <x v="0"/>
          </reference>
          <reference field="0" count="1" selected="0">
            <x v="2"/>
          </reference>
        </references>
      </pivotArea>
    </chartFormat>
    <chartFormat chart="11" format="59">
      <pivotArea type="data" outline="0" fieldPosition="0">
        <references count="2">
          <reference field="4294967294" count="1" selected="0">
            <x v="0"/>
          </reference>
          <reference field="0" count="1" selected="0">
            <x v="3"/>
          </reference>
        </references>
      </pivotArea>
    </chartFormat>
    <chartFormat chart="11" format="60">
      <pivotArea type="data" outline="0" fieldPosition="0">
        <references count="2">
          <reference field="4294967294" count="1" selected="0">
            <x v="0"/>
          </reference>
          <reference field="0" count="1" selected="0">
            <x v="4"/>
          </reference>
        </references>
      </pivotArea>
    </chartFormat>
    <chartFormat chart="11" format="61">
      <pivotArea type="data" outline="0" fieldPosition="0">
        <references count="2">
          <reference field="4294967294" count="1" selected="0">
            <x v="0"/>
          </reference>
          <reference field="0" count="1" selected="0">
            <x v="5"/>
          </reference>
        </references>
      </pivotArea>
    </chartFormat>
    <chartFormat chart="11" format="62">
      <pivotArea type="data" outline="0" fieldPosition="0">
        <references count="2">
          <reference field="4294967294" count="1" selected="0">
            <x v="0"/>
          </reference>
          <reference field="0" count="1" selected="0">
            <x v="6"/>
          </reference>
        </references>
      </pivotArea>
    </chartFormat>
    <chartFormat chart="11" format="63">
      <pivotArea type="data" outline="0" fieldPosition="0">
        <references count="2">
          <reference field="4294967294" count="1" selected="0">
            <x v="0"/>
          </reference>
          <reference field="0" count="1" selected="0">
            <x v="7"/>
          </reference>
        </references>
      </pivotArea>
    </chartFormat>
    <chartFormat chart="11" format="64">
      <pivotArea type="data" outline="0" fieldPosition="0">
        <references count="2">
          <reference field="4294967294" count="1" selected="0">
            <x v="0"/>
          </reference>
          <reference field="0" count="1" selected="0">
            <x v="8"/>
          </reference>
        </references>
      </pivotArea>
    </chartFormat>
    <chartFormat chart="11" format="65">
      <pivotArea type="data" outline="0" fieldPosition="0">
        <references count="2">
          <reference field="4294967294" count="1" selected="0">
            <x v="0"/>
          </reference>
          <reference field="0" count="1" selected="0">
            <x v="9"/>
          </reference>
        </references>
      </pivotArea>
    </chartFormat>
    <chartFormat chart="11" format="66">
      <pivotArea type="data" outline="0" fieldPosition="0">
        <references count="2">
          <reference field="4294967294" count="1" selected="0">
            <x v="0"/>
          </reference>
          <reference field="0" count="1" selected="0">
            <x v="10"/>
          </reference>
        </references>
      </pivotArea>
    </chartFormat>
    <chartFormat chart="11" format="67">
      <pivotArea type="data" outline="0" fieldPosition="0">
        <references count="2">
          <reference field="4294967294" count="1" selected="0">
            <x v="0"/>
          </reference>
          <reference field="0" count="1" selected="0">
            <x v="11"/>
          </reference>
        </references>
      </pivotArea>
    </chartFormat>
    <chartFormat chart="11" format="68">
      <pivotArea type="data" outline="0" fieldPosition="0">
        <references count="2">
          <reference field="4294967294" count="1" selected="0">
            <x v="0"/>
          </reference>
          <reference field="0" count="1" selected="0">
            <x v="12"/>
          </reference>
        </references>
      </pivotArea>
    </chartFormat>
    <chartFormat chart="11" format="69">
      <pivotArea type="data" outline="0" fieldPosition="0">
        <references count="2">
          <reference field="4294967294" count="1" selected="0">
            <x v="0"/>
          </reference>
          <reference field="0" count="1" selected="0">
            <x v="13"/>
          </reference>
        </references>
      </pivotArea>
    </chartFormat>
    <chartFormat chart="11" format="70">
      <pivotArea type="data" outline="0" fieldPosition="0">
        <references count="2">
          <reference field="4294967294" count="1" selected="0">
            <x v="0"/>
          </reference>
          <reference field="0" count="1" selected="0">
            <x v="14"/>
          </reference>
        </references>
      </pivotArea>
    </chartFormat>
    <chartFormat chart="11" format="71">
      <pivotArea type="data" outline="0" fieldPosition="0">
        <references count="2">
          <reference field="4294967294" count="1" selected="0">
            <x v="0"/>
          </reference>
          <reference field="0" count="1" selected="0">
            <x v="15"/>
          </reference>
        </references>
      </pivotArea>
    </chartFormat>
    <chartFormat chart="11" format="72">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F0496-2A47-47D5-884D-ED982300399E}"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gress">
  <location ref="D3:E9" firstHeaderRow="1" firstDataRow="1" firstDataCol="1"/>
  <pivotFields count="8">
    <pivotField showAll="0">
      <items count="18">
        <item x="12"/>
        <item x="4"/>
        <item x="7"/>
        <item x="16"/>
        <item x="14"/>
        <item x="5"/>
        <item x="15"/>
        <item x="2"/>
        <item x="11"/>
        <item x="3"/>
        <item x="8"/>
        <item x="1"/>
        <item x="6"/>
        <item x="9"/>
        <item x="10"/>
        <item x="13"/>
        <item x="0"/>
        <item t="default"/>
      </items>
    </pivotField>
    <pivotField dataField="1" showAll="0"/>
    <pivotField showAll="0">
      <items count="45">
        <item x="27"/>
        <item x="2"/>
        <item x="1"/>
        <item x="28"/>
        <item x="3"/>
        <item x="29"/>
        <item x="4"/>
        <item x="5"/>
        <item x="30"/>
        <item x="31"/>
        <item x="6"/>
        <item x="7"/>
        <item x="8"/>
        <item x="32"/>
        <item x="9"/>
        <item x="33"/>
        <item x="10"/>
        <item x="34"/>
        <item x="35"/>
        <item x="11"/>
        <item x="12"/>
        <item x="36"/>
        <item x="37"/>
        <item x="13"/>
        <item x="38"/>
        <item x="39"/>
        <item x="14"/>
        <item x="15"/>
        <item x="40"/>
        <item x="41"/>
        <item x="16"/>
        <item x="42"/>
        <item x="17"/>
        <item x="18"/>
        <item x="19"/>
        <item x="20"/>
        <item x="43"/>
        <item x="21"/>
        <item x="22"/>
        <item x="23"/>
        <item x="24"/>
        <item x="25"/>
        <item x="26"/>
        <item x="0"/>
        <item t="default"/>
      </items>
    </pivotField>
    <pivotField showAll="0"/>
    <pivotField showAll="0"/>
    <pivotField showAll="0">
      <items count="37">
        <item x="1"/>
        <item x="2"/>
        <item x="6"/>
        <item x="15"/>
        <item x="23"/>
        <item x="35"/>
        <item x="3"/>
        <item x="7"/>
        <item x="31"/>
        <item x="26"/>
        <item x="28"/>
        <item x="18"/>
        <item x="13"/>
        <item x="4"/>
        <item x="9"/>
        <item x="12"/>
        <item x="16"/>
        <item x="27"/>
        <item x="8"/>
        <item x="22"/>
        <item x="29"/>
        <item x="24"/>
        <item x="19"/>
        <item x="5"/>
        <item x="20"/>
        <item x="10"/>
        <item x="32"/>
        <item x="25"/>
        <item x="17"/>
        <item x="33"/>
        <item x="30"/>
        <item x="21"/>
        <item x="14"/>
        <item x="34"/>
        <item x="11"/>
        <item x="0"/>
        <item t="default"/>
      </items>
    </pivotField>
    <pivotField showAll="0"/>
    <pivotField axis="axisRow" showAll="0">
      <items count="6">
        <item x="3"/>
        <item x="2"/>
        <item x="4"/>
        <item x="1"/>
        <item x="0"/>
        <item t="default"/>
      </items>
    </pivotField>
  </pivotFields>
  <rowFields count="1">
    <field x="7"/>
  </rowFields>
  <rowItems count="6">
    <i>
      <x/>
    </i>
    <i>
      <x v="1"/>
    </i>
    <i>
      <x v="2"/>
    </i>
    <i>
      <x v="3"/>
    </i>
    <i>
      <x v="4"/>
    </i>
    <i t="grand">
      <x/>
    </i>
  </rowItems>
  <colItems count="1">
    <i/>
  </colItems>
  <dataFields count="1">
    <dataField name="Count of Column1" fld="1" subtotal="count" baseField="0" baseItem="0"/>
  </dataField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CCF406-5882-4540-B40F-6BD74DDF53EA}"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ject Name">
  <location ref="A3:B21" firstHeaderRow="1" firstDataRow="1" firstDataCol="1"/>
  <pivotFields count="8">
    <pivotField axis="axisRow" showAll="0">
      <items count="18">
        <item x="12"/>
        <item x="4"/>
        <item x="7"/>
        <item x="16"/>
        <item x="14"/>
        <item x="5"/>
        <item x="15"/>
        <item x="2"/>
        <item x="11"/>
        <item x="3"/>
        <item x="8"/>
        <item x="1"/>
        <item x="6"/>
        <item x="9"/>
        <item x="10"/>
        <item x="13"/>
        <item x="0"/>
        <item t="default"/>
      </items>
    </pivotField>
    <pivotField dataField="1" showAll="0">
      <items count="49">
        <item x="12"/>
        <item x="28"/>
        <item x="5"/>
        <item x="37"/>
        <item x="35"/>
        <item x="25"/>
        <item x="20"/>
        <item x="40"/>
        <item x="3"/>
        <item x="26"/>
        <item x="11"/>
        <item x="16"/>
        <item x="36"/>
        <item x="39"/>
        <item x="32"/>
        <item x="19"/>
        <item x="13"/>
        <item x="31"/>
        <item x="44"/>
        <item x="14"/>
        <item x="24"/>
        <item x="21"/>
        <item x="34"/>
        <item x="2"/>
        <item x="15"/>
        <item x="23"/>
        <item x="30"/>
        <item x="45"/>
        <item x="6"/>
        <item x="47"/>
        <item x="7"/>
        <item x="22"/>
        <item x="17"/>
        <item x="9"/>
        <item x="38"/>
        <item x="4"/>
        <item x="18"/>
        <item x="29"/>
        <item x="41"/>
        <item x="33"/>
        <item x="42"/>
        <item x="46"/>
        <item x="1"/>
        <item x="27"/>
        <item x="10"/>
        <item x="43"/>
        <item x="8"/>
        <item x="0"/>
        <item t="default"/>
      </items>
    </pivotField>
    <pivotField showAll="0">
      <items count="45">
        <item x="27"/>
        <item x="2"/>
        <item x="1"/>
        <item x="28"/>
        <item x="3"/>
        <item x="29"/>
        <item x="4"/>
        <item x="5"/>
        <item x="30"/>
        <item x="31"/>
        <item x="6"/>
        <item x="7"/>
        <item x="8"/>
        <item x="32"/>
        <item x="9"/>
        <item x="33"/>
        <item x="10"/>
        <item x="34"/>
        <item x="35"/>
        <item x="11"/>
        <item x="12"/>
        <item x="36"/>
        <item x="37"/>
        <item x="13"/>
        <item x="38"/>
        <item x="39"/>
        <item x="14"/>
        <item x="15"/>
        <item x="40"/>
        <item x="41"/>
        <item x="16"/>
        <item x="42"/>
        <item x="17"/>
        <item x="18"/>
        <item x="19"/>
        <item x="20"/>
        <item x="43"/>
        <item x="21"/>
        <item x="22"/>
        <item x="23"/>
        <item x="24"/>
        <item x="25"/>
        <item x="26"/>
        <item x="0"/>
        <item t="default"/>
      </items>
    </pivotField>
    <pivotField showAll="0"/>
    <pivotField showAll="0"/>
    <pivotField showAll="0"/>
    <pivotField showAll="0"/>
    <pivotField showAll="0">
      <items count="6">
        <item x="3"/>
        <item x="2"/>
        <item x="4"/>
        <item x="1"/>
        <item x="0"/>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Column1" fld="1" subtotal="count"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Management_Data" xr10:uid="{7ACFAAC6-DB84-4C8B-A61B-76758C0FF7C0}" sourceName="Project Management Data">
  <pivotTables>
    <pivotTable tabId="3" name="PivotTable1"/>
    <pivotTable tabId="3" name="PivotTable5"/>
    <pivotTable tabId="3" name="PivotTable9"/>
  </pivotTables>
  <data>
    <tabular pivotCacheId="61942558">
      <items count="17">
        <i x="12" s="1"/>
        <i x="4" s="1"/>
        <i x="7" s="1"/>
        <i x="16" s="1"/>
        <i x="14" s="1"/>
        <i x="5" s="1"/>
        <i x="15" s="1"/>
        <i x="2" s="1"/>
        <i x="11" s="1"/>
        <i x="3" s="1"/>
        <i x="8" s="1"/>
        <i x="1" s="1"/>
        <i x="6" s="1"/>
        <i x="9" s="1"/>
        <i x="10" s="1"/>
        <i x="13"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7" xr10:uid="{E79E12F0-F534-4701-A76E-49D26DF3492F}" sourceName="Column7">
  <pivotTables>
    <pivotTable tabId="3" name="PivotTable1"/>
    <pivotTable tabId="3" name="PivotTable5"/>
    <pivotTable tabId="3" name="PivotTable9"/>
  </pivotTables>
  <data>
    <tabular pivotCacheId="61942558">
      <items count="5">
        <i x="3" s="1"/>
        <i x="2" s="1"/>
        <i x="4"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Management Data" xr10:uid="{3716F9AF-E7FD-4D25-B3A2-3CAE11C11A13}" cache="Slicer_Project_Management_Data" caption="Project Management Data" rowHeight="247650"/>
  <slicer name="Column7" xr10:uid="{40E1D131-CA6E-4BA6-96D4-B95A32FC21F3}" cache="Slicer_Column7" caption="Column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500EF-DF5C-4596-9CBF-3BFF09417B4C}" name="project_data" displayName="project_data" ref="A1:H49" totalsRowShown="0" headerRowDxfId="11" dataDxfId="10" headerRowBorderDxfId="8" tableBorderDxfId="9">
  <autoFilter ref="A1:H49" xr:uid="{01C500EF-DF5C-4596-9CBF-3BFF09417B4C}"/>
  <tableColumns count="8">
    <tableColumn id="1" xr3:uid="{18C9F002-95CB-4A8E-B536-448E3EF65CA3}" name="Project Management Data" dataDxfId="7"/>
    <tableColumn id="2" xr3:uid="{EC6EB63C-F05A-4D47-ACC7-73DD6056E583}" name="Column1" dataDxfId="6"/>
    <tableColumn id="3" xr3:uid="{08B79FA9-5AFF-4BC2-BED4-D207E24C3782}" name="Column2" dataDxfId="5"/>
    <tableColumn id="4" xr3:uid="{2546DF7F-91E3-42A0-BA9B-A2EB46C2BC2A}" name="Column3" dataDxfId="4"/>
    <tableColumn id="5" xr3:uid="{5778F556-95E5-4F44-A387-F0D4611A85A2}" name="Column4" dataDxfId="3"/>
    <tableColumn id="6" xr3:uid="{2BDEA136-E3A8-4A94-B9AE-7CD3E1BC6291}" name="Column5" dataDxfId="2"/>
    <tableColumn id="7" xr3:uid="{BDC9DFD7-3E5F-4CB4-A582-39F6A8537A36}" name="Column6" dataDxfId="1" dataCellStyle="Percent"/>
    <tableColumn id="8" xr3:uid="{70D5C917-9E7B-424B-B603-85F195121993}" name="Column7"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9FBB9-8AA5-4A01-83E0-1B2B38D5BA75}">
  <dimension ref="A1:H49"/>
  <sheetViews>
    <sheetView workbookViewId="0">
      <selection activeCell="J4" sqref="J4"/>
    </sheetView>
  </sheetViews>
  <sheetFormatPr defaultRowHeight="14.4" x14ac:dyDescent="0.3"/>
  <cols>
    <col min="1" max="1" width="33.77734375" customWidth="1"/>
    <col min="2" max="2" width="19.109375" customWidth="1"/>
    <col min="3" max="3" width="17" customWidth="1"/>
    <col min="4" max="4" width="14.33203125" style="1" customWidth="1"/>
    <col min="5" max="5" width="16.109375" customWidth="1"/>
    <col min="6" max="6" width="14.88671875" customWidth="1"/>
    <col min="7" max="7" width="14.21875" style="2" customWidth="1"/>
    <col min="8" max="8" width="16.88671875" customWidth="1"/>
  </cols>
  <sheetData>
    <row r="1" spans="1:8" ht="18.600000000000001" thickBot="1" x14ac:dyDescent="0.4">
      <c r="A1" s="6" t="s">
        <v>0</v>
      </c>
      <c r="B1" s="7" t="s">
        <v>111</v>
      </c>
      <c r="C1" s="7" t="s">
        <v>112</v>
      </c>
      <c r="D1" s="8" t="s">
        <v>113</v>
      </c>
      <c r="E1" s="7" t="s">
        <v>114</v>
      </c>
      <c r="F1" s="7" t="s">
        <v>115</v>
      </c>
      <c r="G1" s="25" t="s">
        <v>116</v>
      </c>
      <c r="H1" s="7" t="s">
        <v>117</v>
      </c>
    </row>
    <row r="2" spans="1:8" x14ac:dyDescent="0.3">
      <c r="A2" s="9"/>
      <c r="B2" s="9"/>
      <c r="C2" s="9"/>
      <c r="D2" s="10"/>
      <c r="E2" s="9"/>
      <c r="F2" s="9"/>
      <c r="G2" s="11"/>
      <c r="H2" s="20"/>
    </row>
    <row r="3" spans="1:8" ht="15.6" x14ac:dyDescent="0.3">
      <c r="A3" s="3" t="s">
        <v>1</v>
      </c>
      <c r="B3" s="3" t="s">
        <v>2</v>
      </c>
      <c r="C3" s="3" t="s">
        <v>3</v>
      </c>
      <c r="D3" s="4" t="s">
        <v>4</v>
      </c>
      <c r="E3" s="3" t="s">
        <v>5</v>
      </c>
      <c r="F3" s="3" t="s">
        <v>6</v>
      </c>
      <c r="G3" s="5" t="s">
        <v>7</v>
      </c>
      <c r="H3" s="21" t="s">
        <v>118</v>
      </c>
    </row>
    <row r="4" spans="1:8" x14ac:dyDescent="0.3">
      <c r="A4" s="12" t="s">
        <v>8</v>
      </c>
      <c r="B4" s="12" t="s">
        <v>9</v>
      </c>
      <c r="C4" s="12" t="s">
        <v>10</v>
      </c>
      <c r="D4" s="13">
        <v>45292</v>
      </c>
      <c r="E4" s="12">
        <v>13</v>
      </c>
      <c r="F4" s="14">
        <v>45305</v>
      </c>
      <c r="G4" s="15">
        <v>0.78</v>
      </c>
      <c r="H4" s="20" t="str">
        <f>IF(project_data[[#This Row],[Column6]]=100%,"completed",IF(G4=0%,"not started","in progress"))</f>
        <v>in progress</v>
      </c>
    </row>
    <row r="5" spans="1:8" x14ac:dyDescent="0.3">
      <c r="A5" s="12" t="s">
        <v>8</v>
      </c>
      <c r="B5" s="12" t="s">
        <v>11</v>
      </c>
      <c r="C5" s="12" t="s">
        <v>12</v>
      </c>
      <c r="D5" s="13">
        <v>45305</v>
      </c>
      <c r="E5" s="12">
        <v>14</v>
      </c>
      <c r="F5" s="14">
        <v>45319</v>
      </c>
      <c r="G5" s="15">
        <v>1</v>
      </c>
      <c r="H5" s="20" t="str">
        <f>IF(project_data[[#This Row],[Column6]]=100%,"completed",IF(G5=0%,"not started","in progress"))</f>
        <v>completed</v>
      </c>
    </row>
    <row r="6" spans="1:8" x14ac:dyDescent="0.3">
      <c r="A6" s="12" t="s">
        <v>8</v>
      </c>
      <c r="B6" s="12" t="s">
        <v>13</v>
      </c>
      <c r="C6" s="12" t="s">
        <v>14</v>
      </c>
      <c r="D6" s="13">
        <v>45319</v>
      </c>
      <c r="E6" s="12">
        <v>22</v>
      </c>
      <c r="F6" s="14">
        <v>45341</v>
      </c>
      <c r="G6" s="15">
        <v>0.45</v>
      </c>
      <c r="H6" s="20" t="str">
        <f>IF(project_data[[#This Row],[Column6]]=100%,"completed",IF(G6=0%,"not started","in progress"))</f>
        <v>in progress</v>
      </c>
    </row>
    <row r="7" spans="1:8" x14ac:dyDescent="0.3">
      <c r="A7" s="12" t="s">
        <v>8</v>
      </c>
      <c r="B7" s="12" t="s">
        <v>15</v>
      </c>
      <c r="C7" s="12" t="s">
        <v>16</v>
      </c>
      <c r="D7" s="13">
        <v>45340</v>
      </c>
      <c r="E7" s="12">
        <v>25</v>
      </c>
      <c r="F7" s="14">
        <v>45365</v>
      </c>
      <c r="G7" s="15">
        <v>0</v>
      </c>
      <c r="H7" s="20" t="str">
        <f>IF(project_data[[#This Row],[Column6]]=100%,"completed",IF(G7=0%,"not started","in progress"))</f>
        <v>not started</v>
      </c>
    </row>
    <row r="8" spans="1:8" x14ac:dyDescent="0.3">
      <c r="A8" s="12" t="s">
        <v>17</v>
      </c>
      <c r="B8" s="12" t="s">
        <v>18</v>
      </c>
      <c r="C8" s="12" t="s">
        <v>19</v>
      </c>
      <c r="D8" s="13">
        <v>45293</v>
      </c>
      <c r="E8" s="12">
        <v>18</v>
      </c>
      <c r="F8" s="14">
        <v>45311</v>
      </c>
      <c r="G8" s="15">
        <v>1</v>
      </c>
      <c r="H8" s="20" t="str">
        <f>IF(project_data[[#This Row],[Column6]]=100%,"completed",IF(G8=0%,"not started","in progress"))</f>
        <v>completed</v>
      </c>
    </row>
    <row r="9" spans="1:8" x14ac:dyDescent="0.3">
      <c r="A9" s="12" t="s">
        <v>17</v>
      </c>
      <c r="B9" s="12" t="s">
        <v>20</v>
      </c>
      <c r="C9" s="12" t="s">
        <v>21</v>
      </c>
      <c r="D9" s="13">
        <v>45311</v>
      </c>
      <c r="E9" s="12">
        <v>10</v>
      </c>
      <c r="F9" s="14">
        <v>45321</v>
      </c>
      <c r="G9" s="15">
        <v>0.78</v>
      </c>
      <c r="H9" s="20" t="str">
        <f>IF(project_data[[#This Row],[Column6]]=100%,"completed",IF(G9=0%,"not started","in progress"))</f>
        <v>in progress</v>
      </c>
    </row>
    <row r="10" spans="1:8" x14ac:dyDescent="0.3">
      <c r="A10" s="12" t="s">
        <v>17</v>
      </c>
      <c r="B10" s="12" t="s">
        <v>22</v>
      </c>
      <c r="C10" s="12" t="s">
        <v>23</v>
      </c>
      <c r="D10" s="13">
        <v>45326</v>
      </c>
      <c r="E10" s="12">
        <v>25</v>
      </c>
      <c r="F10" s="14">
        <v>45351</v>
      </c>
      <c r="G10" s="15">
        <v>0</v>
      </c>
      <c r="H10" s="20" t="str">
        <f>IF(project_data[[#This Row],[Column6]]=100%,"completed",IF(G10=0%,"not started","in progress"))</f>
        <v>not started</v>
      </c>
    </row>
    <row r="11" spans="1:8" x14ac:dyDescent="0.3">
      <c r="A11" s="12" t="s">
        <v>24</v>
      </c>
      <c r="B11" s="12" t="s">
        <v>25</v>
      </c>
      <c r="C11" s="12" t="s">
        <v>26</v>
      </c>
      <c r="D11" s="13">
        <v>45323</v>
      </c>
      <c r="E11" s="12">
        <v>22</v>
      </c>
      <c r="F11" s="14">
        <v>45345</v>
      </c>
      <c r="G11" s="15">
        <v>1</v>
      </c>
      <c r="H11" s="20" t="str">
        <f>IF(project_data[[#This Row],[Column6]]=100%,"completed",IF(G11=0%,"not started","in progress"))</f>
        <v>completed</v>
      </c>
    </row>
    <row r="12" spans="1:8" x14ac:dyDescent="0.3">
      <c r="A12" s="12" t="s">
        <v>24</v>
      </c>
      <c r="B12" s="12" t="s">
        <v>27</v>
      </c>
      <c r="C12" s="12" t="s">
        <v>28</v>
      </c>
      <c r="D12" s="13">
        <v>45346</v>
      </c>
      <c r="E12" s="12">
        <v>25</v>
      </c>
      <c r="F12" s="14">
        <v>45371</v>
      </c>
      <c r="G12" s="15">
        <v>1</v>
      </c>
      <c r="H12" s="20" t="str">
        <f>IF(project_data[[#This Row],[Column6]]=100%,"completed",IF(G12=0%,"not started","in progress"))</f>
        <v>completed</v>
      </c>
    </row>
    <row r="13" spans="1:8" x14ac:dyDescent="0.3">
      <c r="A13" s="12" t="s">
        <v>24</v>
      </c>
      <c r="B13" s="12" t="s">
        <v>29</v>
      </c>
      <c r="C13" s="12" t="s">
        <v>30</v>
      </c>
      <c r="D13" s="13">
        <v>45372</v>
      </c>
      <c r="E13" s="12">
        <v>30</v>
      </c>
      <c r="F13" s="14">
        <v>45402</v>
      </c>
      <c r="G13" s="15">
        <v>0</v>
      </c>
      <c r="H13" s="20" t="str">
        <f>IF(project_data[[#This Row],[Column6]]=100%,"completed",IF(G13=0%,"not started","in progress"))</f>
        <v>not started</v>
      </c>
    </row>
    <row r="14" spans="1:8" x14ac:dyDescent="0.3">
      <c r="A14" s="12" t="s">
        <v>31</v>
      </c>
      <c r="B14" s="12" t="s">
        <v>32</v>
      </c>
      <c r="C14" s="12" t="s">
        <v>33</v>
      </c>
      <c r="D14" s="13">
        <v>45324</v>
      </c>
      <c r="E14" s="12">
        <v>22</v>
      </c>
      <c r="F14" s="14">
        <v>45346</v>
      </c>
      <c r="G14" s="15">
        <v>0.1</v>
      </c>
      <c r="H14" s="20" t="str">
        <f>IF(project_data[[#This Row],[Column6]]=100%,"completed",IF(G14=0%,"not started","in progress"))</f>
        <v>in progress</v>
      </c>
    </row>
    <row r="15" spans="1:8" x14ac:dyDescent="0.3">
      <c r="A15" s="12" t="s">
        <v>31</v>
      </c>
      <c r="B15" s="12" t="s">
        <v>34</v>
      </c>
      <c r="C15" s="12" t="s">
        <v>35</v>
      </c>
      <c r="D15" s="13">
        <v>45335</v>
      </c>
      <c r="E15" s="12">
        <v>21</v>
      </c>
      <c r="F15" s="14">
        <v>45331</v>
      </c>
      <c r="G15" s="15">
        <v>0.78</v>
      </c>
      <c r="H15" s="20" t="str">
        <f>IF(project_data[[#This Row],[Column6]]=100%,"completed",IF(G15=0%,"not started","in progress"))</f>
        <v>in progress</v>
      </c>
    </row>
    <row r="16" spans="1:8" x14ac:dyDescent="0.3">
      <c r="A16" s="12" t="s">
        <v>31</v>
      </c>
      <c r="B16" s="12" t="s">
        <v>36</v>
      </c>
      <c r="C16" s="12" t="s">
        <v>35</v>
      </c>
      <c r="D16" s="13">
        <v>45370</v>
      </c>
      <c r="E16" s="12">
        <v>25</v>
      </c>
      <c r="F16" s="14">
        <v>45395</v>
      </c>
      <c r="G16" s="15">
        <v>1</v>
      </c>
      <c r="H16" s="20" t="str">
        <f>IF(project_data[[#This Row],[Column6]]=100%,"completed",IF(G16=0%,"not started","in progress"))</f>
        <v>completed</v>
      </c>
    </row>
    <row r="17" spans="1:8" x14ac:dyDescent="0.3">
      <c r="A17" s="12" t="s">
        <v>37</v>
      </c>
      <c r="B17" s="12" t="s">
        <v>38</v>
      </c>
      <c r="C17" s="12" t="s">
        <v>39</v>
      </c>
      <c r="D17" s="13">
        <v>45293</v>
      </c>
      <c r="E17" s="12">
        <v>23</v>
      </c>
      <c r="F17" s="14">
        <v>45316</v>
      </c>
      <c r="G17" s="15">
        <v>0.5</v>
      </c>
      <c r="H17" s="20" t="str">
        <f>IF(project_data[[#This Row],[Column6]]=100%,"completed",IF(G17=0%,"not started","in progress"))</f>
        <v>in progress</v>
      </c>
    </row>
    <row r="18" spans="1:8" x14ac:dyDescent="0.3">
      <c r="A18" s="12" t="s">
        <v>37</v>
      </c>
      <c r="B18" s="12" t="s">
        <v>40</v>
      </c>
      <c r="C18" s="12" t="s">
        <v>41</v>
      </c>
      <c r="D18" s="13">
        <v>45317</v>
      </c>
      <c r="E18" s="12">
        <v>32</v>
      </c>
      <c r="F18" s="14">
        <v>45349</v>
      </c>
      <c r="G18" s="15">
        <v>0</v>
      </c>
      <c r="H18" s="20" t="str">
        <f>IF(project_data[[#This Row],[Column6]]=100%,"completed",IF(G18=0%,"not started","in progress"))</f>
        <v>not started</v>
      </c>
    </row>
    <row r="19" spans="1:8" x14ac:dyDescent="0.3">
      <c r="A19" s="12" t="s">
        <v>37</v>
      </c>
      <c r="B19" s="12" t="s">
        <v>42</v>
      </c>
      <c r="C19" s="12" t="s">
        <v>43</v>
      </c>
      <c r="D19" s="13">
        <v>45350</v>
      </c>
      <c r="E19" s="12">
        <v>27</v>
      </c>
      <c r="F19" s="14">
        <v>45377</v>
      </c>
      <c r="G19" s="15">
        <v>0</v>
      </c>
      <c r="H19" s="20" t="str">
        <f>IF(project_data[[#This Row],[Column6]]=100%,"completed",IF(G19=0%,"not started","in progress"))</f>
        <v>not started</v>
      </c>
    </row>
    <row r="20" spans="1:8" x14ac:dyDescent="0.3">
      <c r="A20" s="12" t="s">
        <v>44</v>
      </c>
      <c r="B20" s="12" t="s">
        <v>45</v>
      </c>
      <c r="C20" s="12" t="s">
        <v>46</v>
      </c>
      <c r="D20" s="13">
        <v>45293</v>
      </c>
      <c r="E20" s="12">
        <v>36</v>
      </c>
      <c r="F20" s="14">
        <v>45329</v>
      </c>
      <c r="G20" s="15">
        <v>1</v>
      </c>
      <c r="H20" s="20" t="str">
        <f>IF(project_data[[#This Row],[Column6]]=100%,"completed",IF(G20=0%,"not started","in progress"))</f>
        <v>completed</v>
      </c>
    </row>
    <row r="21" spans="1:8" x14ac:dyDescent="0.3">
      <c r="A21" s="12" t="s">
        <v>44</v>
      </c>
      <c r="B21" s="12" t="s">
        <v>47</v>
      </c>
      <c r="C21" s="12" t="s">
        <v>48</v>
      </c>
      <c r="D21" s="13">
        <v>45330</v>
      </c>
      <c r="E21" s="12">
        <v>34</v>
      </c>
      <c r="F21" s="14">
        <v>45364</v>
      </c>
      <c r="G21" s="15">
        <v>0</v>
      </c>
      <c r="H21" s="20" t="str">
        <f>IF(project_data[[#This Row],[Column6]]=100%,"completed",IF(G21=0%,"not started","in progress"))</f>
        <v>not started</v>
      </c>
    </row>
    <row r="22" spans="1:8" x14ac:dyDescent="0.3">
      <c r="A22" s="12" t="s">
        <v>44</v>
      </c>
      <c r="B22" s="12" t="s">
        <v>49</v>
      </c>
      <c r="C22" s="12" t="s">
        <v>50</v>
      </c>
      <c r="D22" s="13">
        <v>45365</v>
      </c>
      <c r="E22" s="12">
        <v>30</v>
      </c>
      <c r="F22" s="14">
        <v>45395</v>
      </c>
      <c r="G22" s="15">
        <v>0</v>
      </c>
      <c r="H22" s="20" t="str">
        <f>IF(project_data[[#This Row],[Column6]]=100%,"completed",IF(G22=0%,"not started","in progress"))</f>
        <v>not started</v>
      </c>
    </row>
    <row r="23" spans="1:8" x14ac:dyDescent="0.3">
      <c r="A23" s="12" t="s">
        <v>51</v>
      </c>
      <c r="B23" s="12" t="s">
        <v>52</v>
      </c>
      <c r="C23" s="12" t="s">
        <v>53</v>
      </c>
      <c r="D23" s="13">
        <v>45294</v>
      </c>
      <c r="E23" s="12">
        <v>47</v>
      </c>
      <c r="F23" s="14">
        <v>45341</v>
      </c>
      <c r="G23" s="15">
        <v>0.3</v>
      </c>
      <c r="H23" s="20" t="str">
        <f>IF(project_data[[#This Row],[Column6]]=100%,"completed",IF(G23=0%,"not started","in progress"))</f>
        <v>in progress</v>
      </c>
    </row>
    <row r="24" spans="1:8" x14ac:dyDescent="0.3">
      <c r="A24" s="12" t="s">
        <v>51</v>
      </c>
      <c r="B24" s="12" t="s">
        <v>54</v>
      </c>
      <c r="C24" s="12" t="s">
        <v>55</v>
      </c>
      <c r="D24" s="13">
        <v>45339</v>
      </c>
      <c r="E24" s="12">
        <v>27</v>
      </c>
      <c r="F24" s="14">
        <v>45366</v>
      </c>
      <c r="G24" s="15">
        <v>0</v>
      </c>
      <c r="H24" s="20" t="str">
        <f>IF(project_data[[#This Row],[Column6]]=100%,"completed",IF(G24=0%,"not started","in progress"))</f>
        <v>not started</v>
      </c>
    </row>
    <row r="25" spans="1:8" x14ac:dyDescent="0.3">
      <c r="A25" s="12" t="s">
        <v>51</v>
      </c>
      <c r="B25" s="12" t="s">
        <v>56</v>
      </c>
      <c r="C25" s="12" t="s">
        <v>57</v>
      </c>
      <c r="D25" s="13">
        <v>45365</v>
      </c>
      <c r="E25" s="12">
        <v>22</v>
      </c>
      <c r="F25" s="14">
        <v>45387</v>
      </c>
      <c r="G25" s="15">
        <v>0</v>
      </c>
      <c r="H25" s="20" t="str">
        <f>IF(project_data[[#This Row],[Column6]]=100%,"completed",IF(G25=0%,"not started","in progress"))</f>
        <v>not started</v>
      </c>
    </row>
    <row r="26" spans="1:8" x14ac:dyDescent="0.3">
      <c r="A26" s="12" t="s">
        <v>58</v>
      </c>
      <c r="B26" s="12" t="s">
        <v>59</v>
      </c>
      <c r="C26" s="12" t="s">
        <v>60</v>
      </c>
      <c r="D26" s="13">
        <v>45294</v>
      </c>
      <c r="E26" s="12">
        <v>60</v>
      </c>
      <c r="F26" s="14">
        <v>45354</v>
      </c>
      <c r="G26" s="15">
        <v>0.7</v>
      </c>
      <c r="H26" s="20" t="str">
        <f>IF(project_data[[#This Row],[Column6]]=100%,"completed",IF(G26=0%,"not started","in progress"))</f>
        <v>in progress</v>
      </c>
    </row>
    <row r="27" spans="1:8" x14ac:dyDescent="0.3">
      <c r="A27" s="12" t="s">
        <v>58</v>
      </c>
      <c r="B27" s="12" t="s">
        <v>61</v>
      </c>
      <c r="C27" s="12" t="s">
        <v>62</v>
      </c>
      <c r="D27" s="13">
        <v>45297</v>
      </c>
      <c r="E27" s="12">
        <v>20</v>
      </c>
      <c r="F27" s="14">
        <v>45317</v>
      </c>
      <c r="G27" s="15">
        <v>0.78</v>
      </c>
      <c r="H27" s="20" t="str">
        <f>IF(project_data[[#This Row],[Column6]]=100%,"completed",IF(G27=0%,"not started","in progress"))</f>
        <v>in progress</v>
      </c>
    </row>
    <row r="28" spans="1:8" x14ac:dyDescent="0.3">
      <c r="A28" s="12" t="s">
        <v>58</v>
      </c>
      <c r="B28" s="12" t="s">
        <v>63</v>
      </c>
      <c r="C28" s="12" t="s">
        <v>64</v>
      </c>
      <c r="D28" s="13">
        <v>45325</v>
      </c>
      <c r="E28" s="12">
        <v>35</v>
      </c>
      <c r="F28" s="14">
        <v>45360</v>
      </c>
      <c r="G28" s="15">
        <v>0</v>
      </c>
      <c r="H28" s="20" t="str">
        <f>IF(project_data[[#This Row],[Column6]]=100%,"completed",IF(G28=0%,"not started","in progress"))</f>
        <v>not started</v>
      </c>
    </row>
    <row r="29" spans="1:8" x14ac:dyDescent="0.3">
      <c r="A29" s="12" t="s">
        <v>65</v>
      </c>
      <c r="B29" s="12" t="s">
        <v>66</v>
      </c>
      <c r="C29" s="12" t="s">
        <v>67</v>
      </c>
      <c r="D29" s="13">
        <v>45292</v>
      </c>
      <c r="E29" s="12">
        <v>25</v>
      </c>
      <c r="F29" s="14">
        <v>45317</v>
      </c>
      <c r="G29" s="15">
        <v>1</v>
      </c>
      <c r="H29" s="20" t="str">
        <f>IF(project_data[[#This Row],[Column6]]=100%,"completed",IF(G29=0%,"not started","in progress"))</f>
        <v>completed</v>
      </c>
    </row>
    <row r="30" spans="1:8" x14ac:dyDescent="0.3">
      <c r="A30" s="12" t="s">
        <v>65</v>
      </c>
      <c r="B30" s="12" t="s">
        <v>68</v>
      </c>
      <c r="C30" s="12" t="s">
        <v>69</v>
      </c>
      <c r="D30" s="13">
        <v>45318</v>
      </c>
      <c r="E30" s="12">
        <v>31</v>
      </c>
      <c r="F30" s="14">
        <v>45349</v>
      </c>
      <c r="G30" s="15">
        <v>1</v>
      </c>
      <c r="H30" s="20" t="str">
        <f>IF(project_data[[#This Row],[Column6]]=100%,"completed",IF(G30=0%,"not started","in progress"))</f>
        <v>completed</v>
      </c>
    </row>
    <row r="31" spans="1:8" x14ac:dyDescent="0.3">
      <c r="A31" s="12" t="s">
        <v>65</v>
      </c>
      <c r="B31" s="12" t="s">
        <v>70</v>
      </c>
      <c r="C31" s="12" t="s">
        <v>71</v>
      </c>
      <c r="D31" s="13">
        <v>45353</v>
      </c>
      <c r="E31" s="12">
        <v>22</v>
      </c>
      <c r="F31" s="14">
        <v>45375</v>
      </c>
      <c r="G31" s="15">
        <v>0</v>
      </c>
      <c r="H31" s="20" t="str">
        <f>IF(project_data[[#This Row],[Column6]]=100%,"completed",IF(G31=0%,"not started","in progress"))</f>
        <v>not started</v>
      </c>
    </row>
    <row r="32" spans="1:8" x14ac:dyDescent="0.3">
      <c r="A32" s="12" t="s">
        <v>72</v>
      </c>
      <c r="B32" s="12" t="s">
        <v>73</v>
      </c>
      <c r="C32" s="12" t="s">
        <v>74</v>
      </c>
      <c r="D32" s="13">
        <v>45294</v>
      </c>
      <c r="E32" s="12">
        <v>30</v>
      </c>
      <c r="F32" s="14">
        <v>45324</v>
      </c>
      <c r="G32" s="15">
        <v>0.4</v>
      </c>
      <c r="H32" s="20" t="str">
        <f>IF(project_data[[#This Row],[Column6]]=100%,"completed",IF(G32=0%,"not started","in progress"))</f>
        <v>in progress</v>
      </c>
    </row>
    <row r="33" spans="1:8" x14ac:dyDescent="0.3">
      <c r="A33" s="12" t="s">
        <v>72</v>
      </c>
      <c r="B33" s="12" t="s">
        <v>75</v>
      </c>
      <c r="C33" s="12" t="s">
        <v>76</v>
      </c>
      <c r="D33" s="13">
        <v>45325</v>
      </c>
      <c r="E33" s="12">
        <v>25</v>
      </c>
      <c r="F33" s="14">
        <v>45350</v>
      </c>
      <c r="G33" s="15">
        <v>0</v>
      </c>
      <c r="H33" s="20" t="str">
        <f>IF(project_data[[#This Row],[Column6]]=100%,"completed",IF(G33=0%,"not started","in progress"))</f>
        <v>not started</v>
      </c>
    </row>
    <row r="34" spans="1:8" x14ac:dyDescent="0.3">
      <c r="A34" s="12" t="s">
        <v>72</v>
      </c>
      <c r="B34" s="12" t="s">
        <v>77</v>
      </c>
      <c r="C34" s="12" t="s">
        <v>78</v>
      </c>
      <c r="D34" s="13">
        <v>45351</v>
      </c>
      <c r="E34" s="12">
        <v>20</v>
      </c>
      <c r="F34" s="14">
        <v>45371</v>
      </c>
      <c r="G34" s="15">
        <v>0</v>
      </c>
      <c r="H34" s="20" t="str">
        <f>IF(project_data[[#This Row],[Column6]]=100%,"completed",IF(G34=0%,"not started","in progress"))</f>
        <v>not started</v>
      </c>
    </row>
    <row r="35" spans="1:8" x14ac:dyDescent="0.3">
      <c r="A35" s="12" t="s">
        <v>79</v>
      </c>
      <c r="B35" s="12" t="s">
        <v>80</v>
      </c>
      <c r="C35" s="12" t="s">
        <v>21</v>
      </c>
      <c r="D35" s="13">
        <v>45293</v>
      </c>
      <c r="E35" s="12">
        <v>35</v>
      </c>
      <c r="F35" s="14">
        <v>45328</v>
      </c>
      <c r="G35" s="15">
        <v>0.6</v>
      </c>
      <c r="H35" s="20" t="str">
        <f>IF(project_data[[#This Row],[Column6]]=100%,"completed",IF(G35=0%,"not started","in progress"))</f>
        <v>in progress</v>
      </c>
    </row>
    <row r="36" spans="1:8" x14ac:dyDescent="0.3">
      <c r="A36" s="12" t="s">
        <v>79</v>
      </c>
      <c r="B36" s="12" t="s">
        <v>81</v>
      </c>
      <c r="C36" s="12" t="s">
        <v>82</v>
      </c>
      <c r="D36" s="13">
        <v>45324</v>
      </c>
      <c r="E36" s="12">
        <v>32</v>
      </c>
      <c r="F36" s="14">
        <v>45356</v>
      </c>
      <c r="G36" s="15">
        <v>0</v>
      </c>
      <c r="H36" s="20" t="str">
        <f>IF(project_data[[#This Row],[Column6]]=100%,"completed",IF(G36=0%,"not started","in progress"))</f>
        <v>not started</v>
      </c>
    </row>
    <row r="37" spans="1:8" x14ac:dyDescent="0.3">
      <c r="A37" s="12" t="s">
        <v>79</v>
      </c>
      <c r="B37" s="12" t="s">
        <v>83</v>
      </c>
      <c r="C37" s="12" t="s">
        <v>84</v>
      </c>
      <c r="D37" s="13">
        <v>45357</v>
      </c>
      <c r="E37" s="12">
        <v>25</v>
      </c>
      <c r="F37" s="14">
        <v>45382</v>
      </c>
      <c r="G37" s="15">
        <v>0</v>
      </c>
      <c r="H37" s="20" t="str">
        <f>IF(project_data[[#This Row],[Column6]]=100%,"completed",IF(G37=0%,"not started","in progress"))</f>
        <v>not started</v>
      </c>
    </row>
    <row r="38" spans="1:8" x14ac:dyDescent="0.3">
      <c r="A38" s="12" t="s">
        <v>85</v>
      </c>
      <c r="B38" s="12" t="s">
        <v>86</v>
      </c>
      <c r="C38" s="12" t="s">
        <v>87</v>
      </c>
      <c r="D38" s="13">
        <v>45295</v>
      </c>
      <c r="E38" s="12">
        <v>27</v>
      </c>
      <c r="F38" s="14">
        <v>45322</v>
      </c>
      <c r="G38" s="15">
        <v>0.8</v>
      </c>
      <c r="H38" s="20" t="str">
        <f>IF(project_data[[#This Row],[Column6]]=100%,"completed",IF(G38=0%,"not started","in progress"))</f>
        <v>in progress</v>
      </c>
    </row>
    <row r="39" spans="1:8" x14ac:dyDescent="0.3">
      <c r="A39" s="12" t="s">
        <v>85</v>
      </c>
      <c r="B39" s="12" t="s">
        <v>88</v>
      </c>
      <c r="C39" s="12" t="s">
        <v>89</v>
      </c>
      <c r="D39" s="13">
        <v>45319</v>
      </c>
      <c r="E39" s="12">
        <v>30</v>
      </c>
      <c r="F39" s="14">
        <v>45349</v>
      </c>
      <c r="G39" s="15">
        <v>0</v>
      </c>
      <c r="H39" s="20" t="str">
        <f>IF(project_data[[#This Row],[Column6]]=100%,"completed",IF(G39=0%,"not started","in progress"))</f>
        <v>not started</v>
      </c>
    </row>
    <row r="40" spans="1:8" x14ac:dyDescent="0.3">
      <c r="A40" s="12" t="s">
        <v>85</v>
      </c>
      <c r="B40" s="12" t="s">
        <v>90</v>
      </c>
      <c r="C40" s="12" t="s">
        <v>91</v>
      </c>
      <c r="D40" s="13">
        <v>45350</v>
      </c>
      <c r="E40" s="12">
        <v>22</v>
      </c>
      <c r="F40" s="14">
        <v>45372</v>
      </c>
      <c r="G40" s="15">
        <v>0</v>
      </c>
      <c r="H40" s="20" t="str">
        <f>IF(project_data[[#This Row],[Column6]]=100%,"completed",IF(G40=0%,"not started","in progress"))</f>
        <v>not started</v>
      </c>
    </row>
    <row r="41" spans="1:8" x14ac:dyDescent="0.3">
      <c r="A41" s="12" t="s">
        <v>92</v>
      </c>
      <c r="B41" s="12" t="s">
        <v>93</v>
      </c>
      <c r="C41" s="12" t="s">
        <v>94</v>
      </c>
      <c r="D41" s="13">
        <v>45294</v>
      </c>
      <c r="E41" s="12">
        <v>25</v>
      </c>
      <c r="F41" s="14">
        <v>45319</v>
      </c>
      <c r="G41" s="15">
        <v>0.3</v>
      </c>
      <c r="H41" s="20" t="str">
        <f>IF(project_data[[#This Row],[Column6]]=100%,"completed",IF(G41=0%,"not started","in progress"))</f>
        <v>in progress</v>
      </c>
    </row>
    <row r="42" spans="1:8" x14ac:dyDescent="0.3">
      <c r="A42" s="12" t="s">
        <v>92</v>
      </c>
      <c r="B42" s="12" t="s">
        <v>95</v>
      </c>
      <c r="C42" s="12" t="s">
        <v>96</v>
      </c>
      <c r="D42" s="13">
        <v>45325</v>
      </c>
      <c r="E42" s="12">
        <v>20</v>
      </c>
      <c r="F42" s="14">
        <v>45345</v>
      </c>
      <c r="G42" s="15">
        <v>0</v>
      </c>
      <c r="H42" s="20" t="str">
        <f>IF(project_data[[#This Row],[Column6]]=100%,"completed",IF(G42=0%,"not started","in progress"))</f>
        <v>not started</v>
      </c>
    </row>
    <row r="43" spans="1:8" x14ac:dyDescent="0.3">
      <c r="A43" s="12" t="s">
        <v>92</v>
      </c>
      <c r="B43" s="12" t="s">
        <v>97</v>
      </c>
      <c r="C43" s="12" t="s">
        <v>98</v>
      </c>
      <c r="D43" s="13">
        <v>45346</v>
      </c>
      <c r="E43" s="12">
        <v>35</v>
      </c>
      <c r="F43" s="14">
        <v>45381</v>
      </c>
      <c r="G43" s="15">
        <v>0</v>
      </c>
      <c r="H43" s="20" t="str">
        <f>IF(project_data[[#This Row],[Column6]]=100%,"completed",IF(G43=0%,"not started","in progress"))</f>
        <v>not started</v>
      </c>
    </row>
    <row r="44" spans="1:8" x14ac:dyDescent="0.3">
      <c r="A44" s="12" t="s">
        <v>99</v>
      </c>
      <c r="B44" s="12" t="s">
        <v>100</v>
      </c>
      <c r="C44" s="12" t="s">
        <v>101</v>
      </c>
      <c r="D44" s="13">
        <v>45294</v>
      </c>
      <c r="E44" s="12">
        <v>25</v>
      </c>
      <c r="F44" s="14">
        <v>45319</v>
      </c>
      <c r="G44" s="15">
        <v>0.5</v>
      </c>
      <c r="H44" s="20" t="str">
        <f>IF(project_data[[#This Row],[Column6]]=100%,"completed",IF(G44=0%,"not started","in progress"))</f>
        <v>in progress</v>
      </c>
    </row>
    <row r="45" spans="1:8" x14ac:dyDescent="0.3">
      <c r="A45" s="12" t="s">
        <v>99</v>
      </c>
      <c r="B45" s="12" t="s">
        <v>102</v>
      </c>
      <c r="C45" s="12" t="s">
        <v>103</v>
      </c>
      <c r="D45" s="13">
        <v>45320</v>
      </c>
      <c r="E45" s="12">
        <v>30</v>
      </c>
      <c r="F45" s="14">
        <v>45350</v>
      </c>
      <c r="G45" s="15">
        <v>1</v>
      </c>
      <c r="H45" s="20" t="str">
        <f>IF(project_data[[#This Row],[Column6]]=100%,"completed",IF(G45=0%,"not started","in progress"))</f>
        <v>completed</v>
      </c>
    </row>
    <row r="46" spans="1:8" x14ac:dyDescent="0.3">
      <c r="A46" s="12" t="s">
        <v>99</v>
      </c>
      <c r="B46" s="12" t="s">
        <v>104</v>
      </c>
      <c r="C46" s="12" t="s">
        <v>105</v>
      </c>
      <c r="D46" s="13">
        <v>45380</v>
      </c>
      <c r="E46" s="12">
        <v>20</v>
      </c>
      <c r="F46" s="14">
        <v>45400</v>
      </c>
      <c r="G46" s="15">
        <v>0</v>
      </c>
      <c r="H46" s="20" t="str">
        <f>IF(project_data[[#This Row],[Column6]]=100%,"completed",IF(G46=0%,"not started","in progress"))</f>
        <v>not started</v>
      </c>
    </row>
    <row r="47" spans="1:8" x14ac:dyDescent="0.3">
      <c r="A47" s="12" t="s">
        <v>106</v>
      </c>
      <c r="B47" s="12" t="s">
        <v>107</v>
      </c>
      <c r="C47" s="12" t="s">
        <v>48</v>
      </c>
      <c r="D47" s="13">
        <v>45293</v>
      </c>
      <c r="E47" s="12">
        <v>25</v>
      </c>
      <c r="F47" s="14">
        <v>45318</v>
      </c>
      <c r="G47" s="15">
        <v>0.2</v>
      </c>
      <c r="H47" s="20" t="str">
        <f>IF(project_data[[#This Row],[Column6]]=100%,"completed",IF(G47=0%,"not started","in progress"))</f>
        <v>in progress</v>
      </c>
    </row>
    <row r="48" spans="1:8" x14ac:dyDescent="0.3">
      <c r="A48" s="12" t="s">
        <v>106</v>
      </c>
      <c r="B48" s="12" t="s">
        <v>108</v>
      </c>
      <c r="C48" s="12" t="s">
        <v>50</v>
      </c>
      <c r="D48" s="13">
        <v>45324</v>
      </c>
      <c r="E48" s="12">
        <v>22</v>
      </c>
      <c r="F48" s="14">
        <v>45346</v>
      </c>
      <c r="G48" s="15">
        <v>0</v>
      </c>
      <c r="H48" s="20" t="str">
        <f>IF(project_data[[#This Row],[Column6]]=100%,"completed",IF(G48=0%,"not started","in progress"))</f>
        <v>not started</v>
      </c>
    </row>
    <row r="49" spans="1:8" x14ac:dyDescent="0.3">
      <c r="A49" s="16" t="s">
        <v>106</v>
      </c>
      <c r="B49" s="16" t="s">
        <v>109</v>
      </c>
      <c r="C49" s="16" t="s">
        <v>110</v>
      </c>
      <c r="D49" s="17">
        <v>45345</v>
      </c>
      <c r="E49" s="16">
        <v>27</v>
      </c>
      <c r="F49" s="18">
        <v>45372</v>
      </c>
      <c r="G49" s="19">
        <v>0</v>
      </c>
      <c r="H49" s="20" t="str">
        <f>IF(project_data[[#This Row],[Column6]]=100%,"completed",IF(G49=0%,"not started","in progress"))</f>
        <v>not started</v>
      </c>
    </row>
  </sheetData>
  <phoneticPr fontId="9" type="noConversion"/>
  <conditionalFormatting sqref="G1:G49">
    <cfRule type="dataBar" priority="1">
      <dataBar>
        <cfvo type="min"/>
        <cfvo type="max"/>
        <color rgb="FF638EC6"/>
      </dataBar>
      <extLst>
        <ext xmlns:x14="http://schemas.microsoft.com/office/spreadsheetml/2009/9/main" uri="{B025F937-C7B1-47D3-B67F-A62EFF666E3E}">
          <x14:id>{724F5C47-0BB8-45D1-9AA8-2BEC6BCB0C2D}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24F5C47-0BB8-45D1-9AA8-2BEC6BCB0C2D}">
            <x14:dataBar minLength="0" maxLength="100" border="1" negativeBarBorderColorSameAsPositive="0">
              <x14:cfvo type="autoMin"/>
              <x14:cfvo type="autoMax"/>
              <x14:borderColor rgb="FF638EC6"/>
              <x14:negativeFillColor rgb="FFFF0000"/>
              <x14:negativeBorderColor rgb="FFFF0000"/>
              <x14:axisColor rgb="FF000000"/>
            </x14:dataBar>
          </x14:cfRule>
          <xm:sqref>G1:G49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863D-71BE-44AA-9885-69C7FF1C27C0}">
  <dimension ref="A3:H21"/>
  <sheetViews>
    <sheetView topLeftCell="A2" workbookViewId="0">
      <selection activeCell="A4" sqref="A4"/>
    </sheetView>
  </sheetViews>
  <sheetFormatPr defaultRowHeight="14.4" x14ac:dyDescent="0.3"/>
  <cols>
    <col min="1" max="1" width="14.5546875" bestFit="1" customWidth="1"/>
    <col min="2" max="3" width="15.6640625" bestFit="1" customWidth="1"/>
    <col min="4" max="4" width="10.5546875" bestFit="1" customWidth="1"/>
    <col min="5" max="6" width="15.6640625" bestFit="1" customWidth="1"/>
    <col min="7" max="7" width="14.21875" bestFit="1" customWidth="1"/>
    <col min="8" max="8" width="15.6640625" bestFit="1" customWidth="1"/>
    <col min="9" max="9" width="5.5546875" customWidth="1"/>
    <col min="10" max="10" width="5.77734375" bestFit="1" customWidth="1"/>
    <col min="11" max="11" width="7.21875" bestFit="1" customWidth="1"/>
    <col min="12" max="12" width="5.6640625" bestFit="1" customWidth="1"/>
    <col min="13" max="13" width="5.5546875" bestFit="1" customWidth="1"/>
    <col min="14" max="14" width="7.21875" bestFit="1" customWidth="1"/>
    <col min="15" max="15" width="4.88671875" bestFit="1" customWidth="1"/>
    <col min="16" max="16" width="7.33203125" bestFit="1" customWidth="1"/>
    <col min="17" max="17" width="5.88671875" bestFit="1" customWidth="1"/>
    <col min="18" max="18" width="3.5546875" bestFit="1" customWidth="1"/>
    <col min="19" max="19" width="5.44140625" bestFit="1" customWidth="1"/>
    <col min="20" max="20" width="4.6640625" bestFit="1" customWidth="1"/>
    <col min="21" max="21" width="4.77734375" bestFit="1" customWidth="1"/>
    <col min="22" max="22" width="5.5546875" bestFit="1" customWidth="1"/>
    <col min="23" max="23" width="4.5546875" bestFit="1" customWidth="1"/>
    <col min="24" max="24" width="5.5546875" bestFit="1" customWidth="1"/>
    <col min="25" max="25" width="5.109375" bestFit="1" customWidth="1"/>
    <col min="26" max="26" width="5" bestFit="1" customWidth="1"/>
    <col min="27" max="27" width="7.5546875" bestFit="1" customWidth="1"/>
    <col min="28" max="28" width="7" bestFit="1" customWidth="1"/>
    <col min="29" max="30" width="5.88671875" bestFit="1" customWidth="1"/>
    <col min="31" max="31" width="7.5546875" bestFit="1" customWidth="1"/>
    <col min="32" max="32" width="5.44140625" bestFit="1" customWidth="1"/>
    <col min="33" max="33" width="7.5546875" bestFit="1" customWidth="1"/>
    <col min="34" max="34" width="5.88671875" bestFit="1" customWidth="1"/>
    <col min="35" max="35" width="6.6640625" bestFit="1" customWidth="1"/>
    <col min="36" max="36" width="4.77734375" bestFit="1" customWidth="1"/>
    <col min="37" max="37" width="4.109375" bestFit="1" customWidth="1"/>
    <col min="38" max="38" width="4.5546875" bestFit="1" customWidth="1"/>
    <col min="39" max="39" width="6.33203125" bestFit="1" customWidth="1"/>
    <col min="40" max="40" width="6" bestFit="1" customWidth="1"/>
    <col min="41" max="41" width="6.6640625" bestFit="1" customWidth="1"/>
    <col min="42" max="43" width="6.21875" bestFit="1" customWidth="1"/>
    <col min="44" max="44" width="4" bestFit="1" customWidth="1"/>
    <col min="45" max="45" width="7" bestFit="1" customWidth="1"/>
    <col min="46" max="46" width="10.5546875" bestFit="1" customWidth="1"/>
  </cols>
  <sheetData>
    <row r="3" spans="1:8" x14ac:dyDescent="0.3">
      <c r="A3" s="22" t="s">
        <v>1</v>
      </c>
      <c r="B3" t="s">
        <v>126</v>
      </c>
      <c r="D3" s="22" t="s">
        <v>7</v>
      </c>
      <c r="E3" t="s">
        <v>126</v>
      </c>
      <c r="G3" s="22" t="s">
        <v>125</v>
      </c>
      <c r="H3" t="s">
        <v>124</v>
      </c>
    </row>
    <row r="4" spans="1:8" x14ac:dyDescent="0.3">
      <c r="A4" s="23" t="s">
        <v>79</v>
      </c>
      <c r="B4" s="24">
        <v>3</v>
      </c>
      <c r="D4" s="23" t="s">
        <v>122</v>
      </c>
      <c r="E4" s="24">
        <v>9</v>
      </c>
      <c r="G4" s="23" t="s">
        <v>79</v>
      </c>
      <c r="H4" s="24">
        <v>3</v>
      </c>
    </row>
    <row r="5" spans="1:8" x14ac:dyDescent="0.3">
      <c r="A5" s="23" t="s">
        <v>24</v>
      </c>
      <c r="B5" s="24">
        <v>3</v>
      </c>
      <c r="D5" s="23" t="s">
        <v>121</v>
      </c>
      <c r="E5" s="24">
        <v>15</v>
      </c>
      <c r="G5" s="23" t="s">
        <v>24</v>
      </c>
      <c r="H5" s="24">
        <v>3</v>
      </c>
    </row>
    <row r="6" spans="1:8" x14ac:dyDescent="0.3">
      <c r="A6" s="23" t="s">
        <v>44</v>
      </c>
      <c r="B6" s="24">
        <v>3</v>
      </c>
      <c r="D6" s="23" t="s">
        <v>123</v>
      </c>
      <c r="E6" s="24">
        <v>22</v>
      </c>
      <c r="G6" s="23" t="s">
        <v>44</v>
      </c>
      <c r="H6" s="24">
        <v>3</v>
      </c>
    </row>
    <row r="7" spans="1:8" x14ac:dyDescent="0.3">
      <c r="A7" s="23" t="s">
        <v>106</v>
      </c>
      <c r="B7" s="24">
        <v>3</v>
      </c>
      <c r="D7" s="23" t="s">
        <v>118</v>
      </c>
      <c r="E7" s="24">
        <v>1</v>
      </c>
      <c r="G7" s="23" t="s">
        <v>106</v>
      </c>
      <c r="H7" s="24">
        <v>3</v>
      </c>
    </row>
    <row r="8" spans="1:8" x14ac:dyDescent="0.3">
      <c r="A8" s="23" t="s">
        <v>92</v>
      </c>
      <c r="B8" s="24">
        <v>3</v>
      </c>
      <c r="D8" s="23" t="s">
        <v>119</v>
      </c>
      <c r="E8" s="24"/>
      <c r="G8" s="23" t="s">
        <v>92</v>
      </c>
      <c r="H8" s="24">
        <v>3</v>
      </c>
    </row>
    <row r="9" spans="1:8" x14ac:dyDescent="0.3">
      <c r="A9" s="23" t="s">
        <v>31</v>
      </c>
      <c r="B9" s="24">
        <v>3</v>
      </c>
      <c r="D9" s="23" t="s">
        <v>120</v>
      </c>
      <c r="E9" s="24">
        <v>47</v>
      </c>
      <c r="G9" s="23" t="s">
        <v>31</v>
      </c>
      <c r="H9" s="24">
        <v>3</v>
      </c>
    </row>
    <row r="10" spans="1:8" x14ac:dyDescent="0.3">
      <c r="A10" s="23" t="s">
        <v>99</v>
      </c>
      <c r="B10" s="24">
        <v>3</v>
      </c>
      <c r="G10" s="23" t="s">
        <v>99</v>
      </c>
      <c r="H10" s="24">
        <v>3</v>
      </c>
    </row>
    <row r="11" spans="1:8" x14ac:dyDescent="0.3">
      <c r="A11" s="23" t="s">
        <v>8</v>
      </c>
      <c r="B11" s="24">
        <v>4</v>
      </c>
      <c r="G11" s="23" t="s">
        <v>8</v>
      </c>
      <c r="H11" s="24">
        <v>4</v>
      </c>
    </row>
    <row r="12" spans="1:8" x14ac:dyDescent="0.3">
      <c r="A12" s="23" t="s">
        <v>72</v>
      </c>
      <c r="B12" s="24">
        <v>3</v>
      </c>
      <c r="G12" s="23" t="s">
        <v>72</v>
      </c>
      <c r="H12" s="24">
        <v>3</v>
      </c>
    </row>
    <row r="13" spans="1:8" x14ac:dyDescent="0.3">
      <c r="A13" s="23" t="s">
        <v>17</v>
      </c>
      <c r="B13" s="24">
        <v>3</v>
      </c>
      <c r="G13" s="23" t="s">
        <v>17</v>
      </c>
      <c r="H13" s="24">
        <v>3</v>
      </c>
    </row>
    <row r="14" spans="1:8" x14ac:dyDescent="0.3">
      <c r="A14" s="23" t="s">
        <v>51</v>
      </c>
      <c r="B14" s="24">
        <v>3</v>
      </c>
      <c r="G14" s="23" t="s">
        <v>51</v>
      </c>
      <c r="H14" s="24">
        <v>3</v>
      </c>
    </row>
    <row r="15" spans="1:8" x14ac:dyDescent="0.3">
      <c r="A15" s="23" t="s">
        <v>1</v>
      </c>
      <c r="B15" s="24">
        <v>1</v>
      </c>
      <c r="G15" s="23" t="s">
        <v>1</v>
      </c>
      <c r="H15" s="24">
        <v>1</v>
      </c>
    </row>
    <row r="16" spans="1:8" x14ac:dyDescent="0.3">
      <c r="A16" s="23" t="s">
        <v>37</v>
      </c>
      <c r="B16" s="24">
        <v>3</v>
      </c>
      <c r="G16" s="23" t="s">
        <v>37</v>
      </c>
      <c r="H16" s="24">
        <v>3</v>
      </c>
    </row>
    <row r="17" spans="1:8" x14ac:dyDescent="0.3">
      <c r="A17" s="23" t="s">
        <v>58</v>
      </c>
      <c r="B17" s="24">
        <v>3</v>
      </c>
      <c r="G17" s="23" t="s">
        <v>58</v>
      </c>
      <c r="H17" s="24">
        <v>3</v>
      </c>
    </row>
    <row r="18" spans="1:8" x14ac:dyDescent="0.3">
      <c r="A18" s="23" t="s">
        <v>65</v>
      </c>
      <c r="B18" s="24">
        <v>3</v>
      </c>
      <c r="G18" s="23" t="s">
        <v>65</v>
      </c>
      <c r="H18" s="24">
        <v>3</v>
      </c>
    </row>
    <row r="19" spans="1:8" x14ac:dyDescent="0.3">
      <c r="A19" s="23" t="s">
        <v>85</v>
      </c>
      <c r="B19" s="24">
        <v>3</v>
      </c>
      <c r="G19" s="23" t="s">
        <v>85</v>
      </c>
      <c r="H19" s="24">
        <v>3</v>
      </c>
    </row>
    <row r="20" spans="1:8" x14ac:dyDescent="0.3">
      <c r="A20" s="23" t="s">
        <v>119</v>
      </c>
      <c r="B20" s="24"/>
      <c r="G20" s="23" t="s">
        <v>119</v>
      </c>
      <c r="H20" s="24"/>
    </row>
    <row r="21" spans="1:8" x14ac:dyDescent="0.3">
      <c r="A21" s="23" t="s">
        <v>120</v>
      </c>
      <c r="B21" s="24">
        <v>47</v>
      </c>
      <c r="G21" s="23" t="s">
        <v>120</v>
      </c>
      <c r="H21" s="24">
        <v>47</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F42EA-45D4-4C60-B480-E30E21C6367B}">
  <dimension ref="A1"/>
  <sheetViews>
    <sheetView workbookViewId="0">
      <selection activeCell="N17" sqref="N17"/>
    </sheetView>
  </sheetViews>
  <sheetFormatPr defaultRowHeight="14.4" x14ac:dyDescent="0.3"/>
  <cols>
    <col min="1" max="1" width="12.44140625" bestFit="1" customWidth="1"/>
    <col min="2" max="2" width="15.664062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FA15-A616-4C9A-9954-A74B849B8C34}">
  <dimension ref="A1:H4"/>
  <sheetViews>
    <sheetView tabSelected="1" workbookViewId="0">
      <selection activeCell="C25" sqref="C25"/>
    </sheetView>
  </sheetViews>
  <sheetFormatPr defaultRowHeight="14.4" x14ac:dyDescent="0.3"/>
  <cols>
    <col min="1" max="1" width="27.109375" bestFit="1" customWidth="1"/>
    <col min="3" max="3" width="15.6640625" customWidth="1"/>
    <col min="5" max="5" width="10.88671875" customWidth="1"/>
  </cols>
  <sheetData>
    <row r="1" spans="1:8" ht="25.8" x14ac:dyDescent="0.5">
      <c r="A1" s="26" t="s">
        <v>127</v>
      </c>
      <c r="B1" s="26"/>
      <c r="C1" s="26"/>
      <c r="D1" s="26"/>
      <c r="E1" s="26"/>
      <c r="F1" s="26"/>
      <c r="G1" s="26"/>
      <c r="H1" s="26"/>
    </row>
    <row r="3" spans="1:8" x14ac:dyDescent="0.3">
      <c r="A3" s="27" t="s">
        <v>128</v>
      </c>
      <c r="C3" s="27" t="s">
        <v>129</v>
      </c>
      <c r="E3" s="27" t="s">
        <v>130</v>
      </c>
      <c r="G3" s="27" t="s">
        <v>131</v>
      </c>
    </row>
    <row r="4" spans="1:8" x14ac:dyDescent="0.3">
      <c r="A4" s="27">
        <f>COUNTA([1]project_data!B4:B27)</f>
        <v>24</v>
      </c>
      <c r="C4" s="27">
        <f>COUNTIF('project data'!H4:H27,"completed")</f>
        <v>6</v>
      </c>
      <c r="E4" s="27">
        <f>COUNTIF('project data'!H4:H27,"in progress")</f>
        <v>9</v>
      </c>
      <c r="G4" s="27">
        <f>COUNTIF('project data'!H4:H27,"not started")</f>
        <v>9</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data</vt:lpstr>
      <vt:lpstr>Pivot 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Niyati Patel</dc:creator>
  <cp:lastModifiedBy>Niyati Patel</cp:lastModifiedBy>
  <dcterms:created xsi:type="dcterms:W3CDTF">2026-10-15T13:34:00Z</dcterms:created>
  <dcterms:modified xsi:type="dcterms:W3CDTF">2026-10-15T15:16:00Z</dcterms:modified>
</cp:coreProperties>
</file>